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oufeek/Downloads/"/>
    </mc:Choice>
  </mc:AlternateContent>
  <xr:revisionPtr revIDLastSave="0" documentId="8_{F466B996-A447-1549-9B6A-526B24BBDE47}" xr6:coauthVersionLast="47" xr6:coauthVersionMax="47" xr10:uidLastSave="{00000000-0000-0000-0000-000000000000}"/>
  <bookViews>
    <workbookView xWindow="80" yWindow="600" windowWidth="38320" windowHeight="19460" xr2:uid="{00000000-000D-0000-FFFF-FFFF00000000}"/>
  </bookViews>
  <sheets>
    <sheet name="Trade Simulation" sheetId="1" r:id="rId1"/>
  </sheets>
  <definedNames>
    <definedName name="_xlnm._FilterDatabase" localSheetId="0" hidden="1">'Trade Simulation'!$A$23:$H$123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L24" i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B17" i="1"/>
  <c r="B16" i="1"/>
  <c r="B15" i="1"/>
  <c r="B14" i="1"/>
  <c r="B13" i="1"/>
  <c r="B12" i="1"/>
  <c r="B11" i="1"/>
  <c r="B123" i="1"/>
  <c r="C123" i="1" s="1"/>
  <c r="B122" i="1"/>
  <c r="B121" i="1"/>
  <c r="B120" i="1"/>
  <c r="B119" i="1"/>
  <c r="B118" i="1"/>
  <c r="C118" i="1" s="1"/>
  <c r="B117" i="1"/>
  <c r="C117" i="1" s="1"/>
  <c r="B116" i="1"/>
  <c r="C116" i="1" s="1"/>
  <c r="B115" i="1"/>
  <c r="B114" i="1"/>
  <c r="C114" i="1" s="1"/>
  <c r="B113" i="1"/>
  <c r="C113" i="1" s="1"/>
  <c r="B112" i="1"/>
  <c r="B111" i="1"/>
  <c r="B110" i="1"/>
  <c r="B109" i="1"/>
  <c r="B108" i="1"/>
  <c r="C108" i="1" s="1"/>
  <c r="B107" i="1"/>
  <c r="C107" i="1" s="1"/>
  <c r="B106" i="1"/>
  <c r="C106" i="1" s="1"/>
  <c r="B105" i="1"/>
  <c r="B104" i="1"/>
  <c r="B103" i="1"/>
  <c r="C103" i="1" s="1"/>
  <c r="B102" i="1"/>
  <c r="B101" i="1"/>
  <c r="B100" i="1"/>
  <c r="B99" i="1"/>
  <c r="B98" i="1"/>
  <c r="C98" i="1" s="1"/>
  <c r="B97" i="1"/>
  <c r="C97" i="1" s="1"/>
  <c r="B96" i="1"/>
  <c r="C96" i="1" s="1"/>
  <c r="B95" i="1"/>
  <c r="B94" i="1"/>
  <c r="B93" i="1"/>
  <c r="C93" i="1" s="1"/>
  <c r="B92" i="1"/>
  <c r="B91" i="1"/>
  <c r="B90" i="1"/>
  <c r="B89" i="1"/>
  <c r="B88" i="1"/>
  <c r="C88" i="1" s="1"/>
  <c r="B87" i="1"/>
  <c r="C87" i="1" s="1"/>
  <c r="B86" i="1"/>
  <c r="C86" i="1" s="1"/>
  <c r="B85" i="1"/>
  <c r="B84" i="1"/>
  <c r="B83" i="1"/>
  <c r="C83" i="1" s="1"/>
  <c r="B82" i="1"/>
  <c r="B81" i="1"/>
  <c r="B80" i="1"/>
  <c r="B79" i="1"/>
  <c r="B78" i="1"/>
  <c r="C78" i="1" s="1"/>
  <c r="B77" i="1"/>
  <c r="C77" i="1" s="1"/>
  <c r="B76" i="1"/>
  <c r="C76" i="1" s="1"/>
  <c r="B75" i="1"/>
  <c r="B74" i="1"/>
  <c r="B73" i="1"/>
  <c r="C73" i="1" s="1"/>
  <c r="B72" i="1"/>
  <c r="B71" i="1"/>
  <c r="B70" i="1"/>
  <c r="B69" i="1"/>
  <c r="B68" i="1"/>
  <c r="C68" i="1" s="1"/>
  <c r="B67" i="1"/>
  <c r="C67" i="1" s="1"/>
  <c r="B66" i="1"/>
  <c r="C66" i="1" s="1"/>
  <c r="B65" i="1"/>
  <c r="B64" i="1"/>
  <c r="B63" i="1"/>
  <c r="C63" i="1" s="1"/>
  <c r="B62" i="1"/>
  <c r="B61" i="1"/>
  <c r="B60" i="1"/>
  <c r="B59" i="1"/>
  <c r="B58" i="1"/>
  <c r="C58" i="1" s="1"/>
  <c r="B57" i="1"/>
  <c r="C57" i="1" s="1"/>
  <c r="B56" i="1"/>
  <c r="C56" i="1" s="1"/>
  <c r="B55" i="1"/>
  <c r="B54" i="1"/>
  <c r="B53" i="1"/>
  <c r="C53" i="1" s="1"/>
  <c r="B52" i="1"/>
  <c r="B51" i="1"/>
  <c r="B50" i="1"/>
  <c r="B49" i="1"/>
  <c r="B48" i="1"/>
  <c r="C48" i="1" s="1"/>
  <c r="B47" i="1"/>
  <c r="C47" i="1" s="1"/>
  <c r="B46" i="1"/>
  <c r="C46" i="1" s="1"/>
  <c r="B45" i="1"/>
  <c r="B44" i="1"/>
  <c r="B43" i="1"/>
  <c r="C43" i="1" s="1"/>
  <c r="B42" i="1"/>
  <c r="B41" i="1"/>
  <c r="B40" i="1"/>
  <c r="B39" i="1"/>
  <c r="B38" i="1"/>
  <c r="C38" i="1" s="1"/>
  <c r="B37" i="1"/>
  <c r="C37" i="1" s="1"/>
  <c r="B36" i="1"/>
  <c r="C36" i="1" s="1"/>
  <c r="B35" i="1"/>
  <c r="B34" i="1"/>
  <c r="B33" i="1"/>
  <c r="C33" i="1" s="1"/>
  <c r="B32" i="1"/>
  <c r="B31" i="1"/>
  <c r="B30" i="1"/>
  <c r="B29" i="1"/>
  <c r="B28" i="1"/>
  <c r="C28" i="1" s="1"/>
  <c r="B27" i="1"/>
  <c r="C27" i="1" s="1"/>
  <c r="B26" i="1"/>
  <c r="C26" i="1" s="1"/>
  <c r="B25" i="1"/>
  <c r="B24" i="1"/>
  <c r="C24" i="1" s="1"/>
  <c r="D24" i="1" s="1"/>
  <c r="F24" i="1" s="1"/>
  <c r="C34" i="1" l="1"/>
  <c r="C44" i="1"/>
  <c r="C54" i="1"/>
  <c r="C64" i="1"/>
  <c r="C74" i="1"/>
  <c r="C84" i="1"/>
  <c r="C94" i="1"/>
  <c r="C104" i="1"/>
  <c r="C25" i="1"/>
  <c r="C35" i="1"/>
  <c r="C55" i="1"/>
  <c r="C75" i="1"/>
  <c r="C105" i="1"/>
  <c r="C115" i="1"/>
  <c r="C39" i="1"/>
  <c r="C59" i="1"/>
  <c r="C79" i="1"/>
  <c r="C99" i="1"/>
  <c r="C119" i="1"/>
  <c r="C50" i="1"/>
  <c r="C110" i="1"/>
  <c r="C61" i="1"/>
  <c r="C71" i="1"/>
  <c r="C111" i="1"/>
  <c r="C29" i="1"/>
  <c r="C49" i="1"/>
  <c r="C69" i="1"/>
  <c r="C89" i="1"/>
  <c r="C109" i="1"/>
  <c r="C30" i="1"/>
  <c r="C40" i="1"/>
  <c r="C100" i="1"/>
  <c r="C32" i="1"/>
  <c r="C42" i="1"/>
  <c r="C45" i="1"/>
  <c r="C65" i="1"/>
  <c r="C85" i="1"/>
  <c r="C95" i="1"/>
  <c r="C60" i="1"/>
  <c r="C70" i="1"/>
  <c r="C80" i="1"/>
  <c r="C90" i="1"/>
  <c r="C120" i="1"/>
  <c r="C31" i="1"/>
  <c r="C41" i="1"/>
  <c r="C51" i="1"/>
  <c r="C81" i="1"/>
  <c r="C91" i="1"/>
  <c r="C101" i="1"/>
  <c r="C121" i="1"/>
  <c r="C52" i="1"/>
  <c r="C62" i="1"/>
  <c r="C72" i="1"/>
  <c r="C82" i="1"/>
  <c r="C92" i="1"/>
  <c r="C102" i="1"/>
  <c r="C112" i="1"/>
  <c r="C122" i="1"/>
  <c r="E24" i="1"/>
  <c r="G24" i="1" l="1"/>
  <c r="H24" i="1" l="1"/>
  <c r="D25" i="1"/>
  <c r="E25" i="1" l="1"/>
  <c r="F25" i="1" l="1"/>
  <c r="G25" i="1" s="1"/>
  <c r="H25" i="1" l="1"/>
  <c r="D26" i="1"/>
  <c r="E26" i="1" l="1"/>
  <c r="F26" i="1" s="1"/>
  <c r="G26" i="1" s="1"/>
  <c r="H26" i="1" l="1"/>
  <c r="D27" i="1"/>
  <c r="E27" i="1" l="1"/>
  <c r="F27" i="1" s="1"/>
  <c r="G27" i="1" s="1"/>
  <c r="H27" i="1" l="1"/>
  <c r="D28" i="1"/>
  <c r="E28" i="1" l="1"/>
  <c r="F28" i="1" s="1"/>
  <c r="G28" i="1" s="1"/>
  <c r="D29" i="1" l="1"/>
  <c r="E29" i="1" s="1"/>
  <c r="H28" i="1"/>
  <c r="F29" i="1" l="1"/>
  <c r="G29" i="1" s="1"/>
  <c r="H29" i="1" l="1"/>
  <c r="D30" i="1"/>
  <c r="E30" i="1" s="1"/>
  <c r="F30" i="1" l="1"/>
  <c r="G30" i="1" s="1"/>
  <c r="H30" i="1" l="1"/>
  <c r="D31" i="1"/>
  <c r="E31" i="1" s="1"/>
  <c r="F31" i="1" s="1"/>
  <c r="G31" i="1" l="1"/>
  <c r="H31" i="1" l="1"/>
  <c r="D32" i="1"/>
  <c r="E32" i="1" s="1"/>
  <c r="F32" i="1" l="1"/>
  <c r="G32" i="1" s="1"/>
  <c r="H32" i="1" l="1"/>
  <c r="D33" i="1"/>
  <c r="E33" i="1" s="1"/>
  <c r="F33" i="1" l="1"/>
  <c r="G33" i="1" s="1"/>
  <c r="H33" i="1" l="1"/>
  <c r="D34" i="1"/>
  <c r="E34" i="1" s="1"/>
  <c r="F34" i="1" s="1"/>
  <c r="G34" i="1" l="1"/>
  <c r="H34" i="1" l="1"/>
  <c r="D35" i="1"/>
  <c r="E35" i="1" s="1"/>
  <c r="F35" i="1" l="1"/>
  <c r="G35" i="1" s="1"/>
  <c r="H35" i="1" l="1"/>
  <c r="D36" i="1"/>
  <c r="E36" i="1" s="1"/>
  <c r="F36" i="1" l="1"/>
  <c r="G36" i="1" s="1"/>
  <c r="H36" i="1" l="1"/>
  <c r="D37" i="1"/>
  <c r="E37" i="1" s="1"/>
  <c r="F37" i="1" l="1"/>
  <c r="G37" i="1" s="1"/>
  <c r="H37" i="1" l="1"/>
  <c r="D38" i="1"/>
  <c r="E38" i="1" s="1"/>
  <c r="F38" i="1" s="1"/>
  <c r="G38" i="1" s="1"/>
  <c r="H38" i="1" l="1"/>
  <c r="D39" i="1"/>
  <c r="E39" i="1" s="1"/>
  <c r="F39" i="1" l="1"/>
  <c r="G39" i="1" s="1"/>
  <c r="H39" i="1" l="1"/>
  <c r="D40" i="1"/>
  <c r="E40" i="1" s="1"/>
  <c r="F40" i="1" l="1"/>
  <c r="G40" i="1" s="1"/>
  <c r="H40" i="1" l="1"/>
  <c r="D41" i="1"/>
  <c r="E41" i="1" s="1"/>
  <c r="F41" i="1" s="1"/>
  <c r="G41" i="1" s="1"/>
  <c r="H41" i="1" l="1"/>
  <c r="D42" i="1"/>
  <c r="E42" i="1" s="1"/>
  <c r="F42" i="1" s="1"/>
  <c r="G42" i="1" s="1"/>
  <c r="H42" i="1" l="1"/>
  <c r="D43" i="1"/>
  <c r="E43" i="1" s="1"/>
  <c r="F43" i="1" l="1"/>
  <c r="G43" i="1" s="1"/>
  <c r="H43" i="1" l="1"/>
  <c r="D44" i="1"/>
  <c r="E44" i="1" s="1"/>
  <c r="F44" i="1" s="1"/>
  <c r="G44" i="1" s="1"/>
  <c r="H44" i="1" l="1"/>
  <c r="D45" i="1"/>
  <c r="E45" i="1" s="1"/>
  <c r="F45" i="1" l="1"/>
  <c r="G45" i="1" s="1"/>
  <c r="H45" i="1" l="1"/>
  <c r="D46" i="1"/>
  <c r="E46" i="1" s="1"/>
  <c r="F46" i="1" l="1"/>
  <c r="G46" i="1" s="1"/>
  <c r="H46" i="1" l="1"/>
  <c r="D47" i="1"/>
  <c r="E47" i="1" s="1"/>
  <c r="F47" i="1" l="1"/>
  <c r="G47" i="1" s="1"/>
  <c r="H47" i="1" l="1"/>
  <c r="D48" i="1"/>
  <c r="E48" i="1" s="1"/>
  <c r="F48" i="1" l="1"/>
  <c r="G48" i="1" s="1"/>
  <c r="H48" i="1" l="1"/>
  <c r="D49" i="1"/>
  <c r="E49" i="1" s="1"/>
  <c r="F49" i="1" l="1"/>
  <c r="G49" i="1" s="1"/>
  <c r="H49" i="1" l="1"/>
  <c r="D50" i="1"/>
  <c r="E50" i="1" s="1"/>
  <c r="F50" i="1" l="1"/>
  <c r="G50" i="1" s="1"/>
  <c r="H50" i="1" l="1"/>
  <c r="D51" i="1"/>
  <c r="E51" i="1" s="1"/>
  <c r="F51" i="1" l="1"/>
  <c r="G51" i="1" s="1"/>
  <c r="H51" i="1" l="1"/>
  <c r="D52" i="1"/>
  <c r="E52" i="1" s="1"/>
  <c r="F52" i="1" s="1"/>
  <c r="G52" i="1" s="1"/>
  <c r="H52" i="1" l="1"/>
  <c r="D53" i="1"/>
  <c r="E53" i="1" s="1"/>
  <c r="F53" i="1" l="1"/>
  <c r="G53" i="1" s="1"/>
  <c r="H53" i="1" l="1"/>
  <c r="D54" i="1"/>
  <c r="E54" i="1" s="1"/>
  <c r="F54" i="1" s="1"/>
  <c r="G54" i="1" s="1"/>
  <c r="H54" i="1" l="1"/>
  <c r="D55" i="1"/>
  <c r="E55" i="1" s="1"/>
  <c r="F55" i="1" l="1"/>
  <c r="G55" i="1" s="1"/>
  <c r="H55" i="1" l="1"/>
  <c r="D56" i="1"/>
  <c r="E56" i="1" s="1"/>
  <c r="F56" i="1" s="1"/>
  <c r="G56" i="1" s="1"/>
  <c r="H56" i="1" l="1"/>
  <c r="D57" i="1"/>
  <c r="E57" i="1" s="1"/>
  <c r="F57" i="1" s="1"/>
  <c r="G57" i="1" l="1"/>
  <c r="H57" i="1" l="1"/>
  <c r="D58" i="1"/>
  <c r="E58" i="1" s="1"/>
  <c r="F58" i="1" s="1"/>
  <c r="G58" i="1" l="1"/>
  <c r="H58" i="1" l="1"/>
  <c r="D59" i="1"/>
  <c r="E59" i="1" s="1"/>
  <c r="F59" i="1" l="1"/>
  <c r="G59" i="1" s="1"/>
  <c r="H59" i="1" l="1"/>
  <c r="D60" i="1"/>
  <c r="E60" i="1" s="1"/>
  <c r="F60" i="1" s="1"/>
  <c r="G60" i="1" s="1"/>
  <c r="H60" i="1" l="1"/>
  <c r="D61" i="1"/>
  <c r="E61" i="1" s="1"/>
  <c r="F61" i="1" s="1"/>
  <c r="G61" i="1" s="1"/>
  <c r="H61" i="1" l="1"/>
  <c r="D62" i="1"/>
  <c r="E62" i="1" s="1"/>
  <c r="F62" i="1" l="1"/>
  <c r="G62" i="1" s="1"/>
  <c r="H62" i="1" l="1"/>
  <c r="D63" i="1"/>
  <c r="E63" i="1" s="1"/>
  <c r="F63" i="1" s="1"/>
  <c r="G63" i="1" s="1"/>
  <c r="H63" i="1" l="1"/>
  <c r="D64" i="1"/>
  <c r="E64" i="1" s="1"/>
  <c r="F64" i="1" s="1"/>
  <c r="G64" i="1" l="1"/>
  <c r="H64" i="1" l="1"/>
  <c r="D65" i="1"/>
  <c r="E65" i="1" s="1"/>
  <c r="F65" i="1" s="1"/>
  <c r="G65" i="1" l="1"/>
  <c r="H65" i="1" l="1"/>
  <c r="D66" i="1"/>
  <c r="E66" i="1" s="1"/>
  <c r="F66" i="1" s="1"/>
  <c r="G66" i="1" s="1"/>
  <c r="H66" i="1" l="1"/>
  <c r="D67" i="1"/>
  <c r="E67" i="1" s="1"/>
  <c r="F67" i="1" s="1"/>
  <c r="G67" i="1" s="1"/>
  <c r="H67" i="1" l="1"/>
  <c r="D68" i="1"/>
  <c r="E68" i="1" s="1"/>
  <c r="F68" i="1" s="1"/>
  <c r="G68" i="1" s="1"/>
  <c r="H68" i="1" l="1"/>
  <c r="D69" i="1"/>
  <c r="E69" i="1" s="1"/>
  <c r="F69" i="1" s="1"/>
  <c r="G69" i="1" l="1"/>
  <c r="H69" i="1" l="1"/>
  <c r="D70" i="1"/>
  <c r="E70" i="1" s="1"/>
  <c r="F70" i="1" s="1"/>
  <c r="G70" i="1" s="1"/>
  <c r="H70" i="1" l="1"/>
  <c r="D71" i="1"/>
  <c r="E71" i="1" s="1"/>
  <c r="F71" i="1" s="1"/>
  <c r="G71" i="1" l="1"/>
  <c r="H71" i="1" l="1"/>
  <c r="D72" i="1"/>
  <c r="E72" i="1" s="1"/>
  <c r="F72" i="1" s="1"/>
  <c r="G72" i="1" s="1"/>
  <c r="H72" i="1" l="1"/>
  <c r="D73" i="1"/>
  <c r="E73" i="1" s="1"/>
  <c r="F73" i="1" s="1"/>
  <c r="G73" i="1" s="1"/>
  <c r="H73" i="1" l="1"/>
  <c r="D74" i="1"/>
  <c r="E74" i="1" s="1"/>
  <c r="F74" i="1" s="1"/>
  <c r="G74" i="1" l="1"/>
  <c r="D75" i="1" l="1"/>
  <c r="E75" i="1" s="1"/>
  <c r="H74" i="1"/>
  <c r="F75" i="1" l="1"/>
  <c r="G75" i="1" s="1"/>
  <c r="H75" i="1" l="1"/>
  <c r="D76" i="1"/>
  <c r="E76" i="1" s="1"/>
  <c r="F76" i="1" s="1"/>
  <c r="G76" i="1" l="1"/>
  <c r="H76" i="1" l="1"/>
  <c r="D77" i="1"/>
  <c r="E77" i="1" s="1"/>
  <c r="F77" i="1" l="1"/>
  <c r="G77" i="1" s="1"/>
  <c r="H77" i="1" l="1"/>
  <c r="D78" i="1"/>
  <c r="E78" i="1" s="1"/>
  <c r="F78" i="1" s="1"/>
  <c r="G78" i="1" s="1"/>
  <c r="H78" i="1" l="1"/>
  <c r="D79" i="1"/>
  <c r="E79" i="1" s="1"/>
  <c r="F79" i="1" l="1"/>
  <c r="G79" i="1" s="1"/>
  <c r="H79" i="1" l="1"/>
  <c r="D80" i="1"/>
  <c r="E80" i="1" s="1"/>
  <c r="F80" i="1" s="1"/>
  <c r="G80" i="1" l="1"/>
  <c r="H80" i="1" l="1"/>
  <c r="D81" i="1"/>
  <c r="E81" i="1" s="1"/>
  <c r="F81" i="1" s="1"/>
  <c r="G81" i="1" s="1"/>
  <c r="H81" i="1" l="1"/>
  <c r="D82" i="1"/>
  <c r="E82" i="1" s="1"/>
  <c r="F82" i="1" s="1"/>
  <c r="G82" i="1" s="1"/>
  <c r="H82" i="1" l="1"/>
  <c r="D83" i="1"/>
  <c r="E83" i="1" s="1"/>
  <c r="F83" i="1" s="1"/>
  <c r="G83" i="1" l="1"/>
  <c r="H83" i="1" l="1"/>
  <c r="D84" i="1"/>
  <c r="E84" i="1" s="1"/>
  <c r="F84" i="1" s="1"/>
  <c r="G84" i="1" s="1"/>
  <c r="H84" i="1" l="1"/>
  <c r="D85" i="1"/>
  <c r="E85" i="1" s="1"/>
  <c r="F85" i="1" l="1"/>
  <c r="G85" i="1" s="1"/>
  <c r="H85" i="1" l="1"/>
  <c r="D86" i="1"/>
  <c r="E86" i="1" s="1"/>
  <c r="F86" i="1" l="1"/>
  <c r="G86" i="1" s="1"/>
  <c r="H86" i="1" l="1"/>
  <c r="D87" i="1"/>
  <c r="E87" i="1" s="1"/>
  <c r="F87" i="1" s="1"/>
  <c r="G87" i="1" s="1"/>
  <c r="H87" i="1" l="1"/>
  <c r="D88" i="1"/>
  <c r="E88" i="1" s="1"/>
  <c r="F88" i="1" s="1"/>
  <c r="G88" i="1" l="1"/>
  <c r="H88" i="1" l="1"/>
  <c r="D89" i="1"/>
  <c r="E89" i="1" s="1"/>
  <c r="F89" i="1" l="1"/>
  <c r="G89" i="1" s="1"/>
  <c r="H89" i="1" l="1"/>
  <c r="D90" i="1"/>
  <c r="E90" i="1" s="1"/>
  <c r="F90" i="1" l="1"/>
  <c r="G90" i="1" s="1"/>
  <c r="H90" i="1" l="1"/>
  <c r="D91" i="1"/>
  <c r="E91" i="1" s="1"/>
  <c r="F91" i="1" s="1"/>
  <c r="G91" i="1" s="1"/>
  <c r="H91" i="1" l="1"/>
  <c r="D92" i="1"/>
  <c r="E92" i="1" s="1"/>
  <c r="F92" i="1" l="1"/>
  <c r="G92" i="1" s="1"/>
  <c r="H92" i="1" l="1"/>
  <c r="D93" i="1"/>
  <c r="E93" i="1" s="1"/>
  <c r="F93" i="1" s="1"/>
  <c r="G93" i="1" s="1"/>
  <c r="H93" i="1" l="1"/>
  <c r="D94" i="1"/>
  <c r="E94" i="1" s="1"/>
  <c r="F94" i="1" s="1"/>
  <c r="G94" i="1" s="1"/>
  <c r="H94" i="1" l="1"/>
  <c r="D95" i="1"/>
  <c r="E95" i="1" s="1"/>
  <c r="F95" i="1" s="1"/>
  <c r="G95" i="1" l="1"/>
  <c r="H95" i="1" l="1"/>
  <c r="D96" i="1"/>
  <c r="E96" i="1" s="1"/>
  <c r="F96" i="1" l="1"/>
  <c r="G96" i="1" s="1"/>
  <c r="H96" i="1" l="1"/>
  <c r="D97" i="1"/>
  <c r="E97" i="1" s="1"/>
  <c r="F97" i="1" l="1"/>
  <c r="G97" i="1" s="1"/>
  <c r="H97" i="1" l="1"/>
  <c r="D98" i="1"/>
  <c r="E98" i="1" s="1"/>
  <c r="F98" i="1" l="1"/>
  <c r="G98" i="1" s="1"/>
  <c r="H98" i="1" l="1"/>
  <c r="D99" i="1"/>
  <c r="E99" i="1" s="1"/>
  <c r="F99" i="1" s="1"/>
  <c r="G99" i="1" s="1"/>
  <c r="H99" i="1" l="1"/>
  <c r="D100" i="1"/>
  <c r="E100" i="1" s="1"/>
  <c r="F100" i="1" s="1"/>
  <c r="G100" i="1" s="1"/>
  <c r="H100" i="1" l="1"/>
  <c r="D101" i="1"/>
  <c r="E101" i="1" s="1"/>
  <c r="F101" i="1" s="1"/>
  <c r="G101" i="1" s="1"/>
  <c r="H101" i="1" l="1"/>
  <c r="D102" i="1"/>
  <c r="E102" i="1" s="1"/>
  <c r="F102" i="1" s="1"/>
  <c r="G102" i="1" s="1"/>
  <c r="H102" i="1" l="1"/>
  <c r="D103" i="1"/>
  <c r="E103" i="1" s="1"/>
  <c r="F103" i="1" s="1"/>
  <c r="G103" i="1" l="1"/>
  <c r="H103" i="1" l="1"/>
  <c r="D104" i="1"/>
  <c r="E104" i="1" s="1"/>
  <c r="F104" i="1" s="1"/>
  <c r="G104" i="1" s="1"/>
  <c r="H104" i="1" l="1"/>
  <c r="D105" i="1"/>
  <c r="E105" i="1" s="1"/>
  <c r="F105" i="1" s="1"/>
  <c r="G105" i="1" l="1"/>
  <c r="H105" i="1" l="1"/>
  <c r="D106" i="1"/>
  <c r="E106" i="1" s="1"/>
  <c r="F106" i="1" s="1"/>
  <c r="G106" i="1" s="1"/>
  <c r="H106" i="1" l="1"/>
  <c r="D107" i="1"/>
  <c r="E107" i="1" s="1"/>
  <c r="F107" i="1" l="1"/>
  <c r="G107" i="1" s="1"/>
  <c r="H107" i="1" l="1"/>
  <c r="D108" i="1"/>
  <c r="E108" i="1" s="1"/>
  <c r="F108" i="1" s="1"/>
  <c r="G108" i="1" l="1"/>
  <c r="H108" i="1" l="1"/>
  <c r="D109" i="1"/>
  <c r="E109" i="1" s="1"/>
  <c r="F109" i="1" s="1"/>
  <c r="G109" i="1" s="1"/>
  <c r="H109" i="1" l="1"/>
  <c r="D110" i="1"/>
  <c r="E110" i="1" s="1"/>
  <c r="F110" i="1" s="1"/>
  <c r="G110" i="1" l="1"/>
  <c r="H110" i="1" l="1"/>
  <c r="D111" i="1"/>
  <c r="E111" i="1" s="1"/>
  <c r="F111" i="1" l="1"/>
  <c r="G111" i="1" s="1"/>
  <c r="H111" i="1" l="1"/>
  <c r="D112" i="1"/>
  <c r="E112" i="1" s="1"/>
  <c r="F112" i="1" l="1"/>
  <c r="G112" i="1" s="1"/>
  <c r="H112" i="1" l="1"/>
  <c r="D113" i="1"/>
  <c r="E113" i="1" s="1"/>
  <c r="F113" i="1" l="1"/>
  <c r="G113" i="1" s="1"/>
  <c r="H113" i="1" l="1"/>
  <c r="D114" i="1"/>
  <c r="E114" i="1" s="1"/>
  <c r="F114" i="1" l="1"/>
  <c r="G114" i="1" s="1"/>
  <c r="H114" i="1" l="1"/>
  <c r="D115" i="1"/>
  <c r="E115" i="1" s="1"/>
  <c r="F115" i="1" s="1"/>
  <c r="G115" i="1" s="1"/>
  <c r="H115" i="1" l="1"/>
  <c r="D116" i="1"/>
  <c r="E116" i="1" s="1"/>
  <c r="F116" i="1" l="1"/>
  <c r="G116" i="1" s="1"/>
  <c r="H116" i="1" l="1"/>
  <c r="D117" i="1"/>
  <c r="E117" i="1" s="1"/>
  <c r="F117" i="1" s="1"/>
  <c r="G117" i="1" s="1"/>
  <c r="H117" i="1" l="1"/>
  <c r="D118" i="1"/>
  <c r="E118" i="1" s="1"/>
  <c r="F118" i="1" l="1"/>
  <c r="G118" i="1" s="1"/>
  <c r="H118" i="1" l="1"/>
  <c r="D119" i="1"/>
  <c r="E119" i="1" s="1"/>
  <c r="F119" i="1" l="1"/>
  <c r="G119" i="1" s="1"/>
  <c r="H119" i="1" l="1"/>
  <c r="D120" i="1"/>
  <c r="E120" i="1" s="1"/>
  <c r="F120" i="1" l="1"/>
  <c r="G120" i="1" s="1"/>
  <c r="H120" i="1" l="1"/>
  <c r="D121" i="1"/>
  <c r="E121" i="1" s="1"/>
  <c r="F121" i="1" s="1"/>
  <c r="G121" i="1" l="1"/>
  <c r="H121" i="1" l="1"/>
  <c r="D122" i="1"/>
  <c r="E122" i="1" s="1"/>
  <c r="F122" i="1" s="1"/>
  <c r="G122" i="1" s="1"/>
  <c r="H122" i="1" l="1"/>
  <c r="D123" i="1"/>
  <c r="B19" i="1" l="1" a="1"/>
  <c r="B19" i="1" s="1"/>
  <c r="C19" i="1" s="1"/>
  <c r="J18" i="1" s="1"/>
  <c r="E123" i="1"/>
  <c r="F123" i="1" l="1"/>
  <c r="G123" i="1" s="1"/>
  <c r="H123" i="1" s="1"/>
  <c r="B18" i="1" s="1"/>
  <c r="J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<sst xmlns="http://schemas.openxmlformats.org/spreadsheetml/2006/main" count="42" uniqueCount="42">
  <si>
    <t>Win Rate (%)</t>
  </si>
  <si>
    <t>Break-even Rate (%)</t>
  </si>
  <si>
    <t>Loss Rate (%)</t>
  </si>
  <si>
    <t>Starting Capital</t>
  </si>
  <si>
    <t>Reward Ratio (Win)</t>
  </si>
  <si>
    <t>Breakeven Reward (%)</t>
  </si>
  <si>
    <t>Trade #</t>
  </si>
  <si>
    <t>Random #</t>
  </si>
  <si>
    <t>Outcome</t>
  </si>
  <si>
    <t>Account Balance</t>
  </si>
  <si>
    <t>Max Equity</t>
  </si>
  <si>
    <t>DD Threshold</t>
  </si>
  <si>
    <t>Breach / Reset Flag</t>
  </si>
  <si>
    <t xml:space="preserve">AC NEEDED </t>
  </si>
  <si>
    <t>BREACH DOT</t>
  </si>
  <si>
    <t>TRADES REQ FOR FIRST PAYOUT</t>
  </si>
  <si>
    <t>RISK /TRADE</t>
  </si>
  <si>
    <t>/100%</t>
  </si>
  <si>
    <t>Ac Blown before first Payout</t>
  </si>
  <si>
    <t>Days for first Payout</t>
  </si>
  <si>
    <t xml:space="preserve">Loss Rate out of 100 Trades </t>
  </si>
  <si>
    <t>Win Rate out of 100 Trades</t>
  </si>
  <si>
    <t xml:space="preserve">Breakeven Rate ot of 100 Trades </t>
  </si>
  <si>
    <t xml:space="preserve">Account Starting  balance </t>
  </si>
  <si>
    <t>Risk per Trade</t>
  </si>
  <si>
    <t>Risk Reward Ratio</t>
  </si>
  <si>
    <t>Reward for breakeven (if any )</t>
  </si>
  <si>
    <t>Drawdown</t>
  </si>
  <si>
    <t>Where Trailing DD stops</t>
  </si>
  <si>
    <t>S.NO</t>
  </si>
  <si>
    <t>QUESTIONS</t>
  </si>
  <si>
    <t>INPUTS</t>
  </si>
  <si>
    <t>RESULT</t>
  </si>
  <si>
    <t>No of Ac Blown Before a Payout</t>
  </si>
  <si>
    <t>No of Trades for Payout</t>
  </si>
  <si>
    <t xml:space="preserve">FILL ONLY THE INPUT BOX </t>
  </si>
  <si>
    <t xml:space="preserve">TRADE SIMULATOR </t>
  </si>
  <si>
    <t>FOR TRAILING DRAWDOWN ACCOUNTS</t>
  </si>
  <si>
    <t xml:space="preserve">Press CMD / CTRL + S for Multiple Simulated Outcome for 100 Trades </t>
  </si>
  <si>
    <t>Breakeven Paradox Breaker</t>
  </si>
  <si>
    <t>Minimum Balance to request Payout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</si>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</sst>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1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36"/>
      <color theme="0"/>
      <name val="Graphik-Semibold"/>
    </font>
    <font>
      <sz val="14"/>
      <color theme="0"/>
      <name val="Helvetica Neue Italic"/>
    </font>
    <font>
      <b/>
      <sz val="24"/>
      <color theme="0"/>
      <name val="Graphik-Regular"/>
    </font>
    <font>
      <sz val="14"/>
      <color theme="1"/>
      <name val="SF Pro Display Medium"/>
    </font>
    <font>
      <sz val="14"/>
      <color theme="1"/>
      <name val="SF Pro Display Regular"/>
    </font>
    <font>
      <b/>
      <sz val="15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rgb="FF9437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4" fillId="0" borderId="2" applyNumberFormat="0" applyFill="0" applyAlignment="0" applyProtection="0"/>
    <xf numFmtId="0" fontId="5" fillId="2" borderId="3" applyNumberFormat="0" applyAlignment="0" applyProtection="0"/>
  </cellStyleXfs>
  <cellXfs count="52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0" fontId="0" fillId="3" borderId="0" xfId="0" applyFill="1"/>
    <xf numFmtId="2" fontId="0" fillId="3" borderId="0" xfId="0" applyNumberFormat="1" applyFill="1"/>
    <xf numFmtId="0" fontId="1" fillId="3" borderId="5" xfId="0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1" fontId="1" fillId="3" borderId="0" xfId="0" applyNumberFormat="1" applyFont="1" applyFill="1" applyAlignment="1">
      <alignment horizontal="center" vertical="center"/>
    </xf>
    <xf numFmtId="44" fontId="1" fillId="3" borderId="0" xfId="1" applyFont="1" applyFill="1" applyBorder="1" applyAlignment="1">
      <alignment horizontal="center" vertical="center"/>
    </xf>
    <xf numFmtId="0" fontId="0" fillId="3" borderId="9" xfId="0" applyFill="1" applyBorder="1"/>
    <xf numFmtId="164" fontId="1" fillId="3" borderId="0" xfId="0" applyNumberFormat="1" applyFon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1" fontId="0" fillId="3" borderId="0" xfId="0" applyNumberFormat="1" applyFill="1" applyAlignment="1">
      <alignment horizontal="right" vertical="center"/>
    </xf>
    <xf numFmtId="0" fontId="0" fillId="3" borderId="9" xfId="0" applyFill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2" fontId="0" fillId="3" borderId="11" xfId="0" applyNumberFormat="1" applyFill="1" applyBorder="1" applyAlignment="1">
      <alignment horizontal="center" vertical="center"/>
    </xf>
    <xf numFmtId="1" fontId="0" fillId="3" borderId="11" xfId="0" applyNumberFormat="1" applyFill="1" applyBorder="1" applyAlignment="1">
      <alignment horizontal="right" vertical="center"/>
    </xf>
    <xf numFmtId="0" fontId="0" fillId="3" borderId="12" xfId="0" applyFill="1" applyBorder="1" applyAlignment="1">
      <alignment horizontal="left" vertical="center"/>
    </xf>
    <xf numFmtId="0" fontId="6" fillId="3" borderId="0" xfId="0" applyFont="1" applyFill="1"/>
    <xf numFmtId="1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11" fillId="3" borderId="0" xfId="0" applyFont="1" applyFill="1"/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2" fontId="14" fillId="3" borderId="0" xfId="0" applyNumberFormat="1" applyFont="1" applyFill="1"/>
    <xf numFmtId="0" fontId="12" fillId="4" borderId="3" xfId="3" applyFont="1" applyFill="1" applyAlignment="1">
      <alignment horizontal="center" vertical="center"/>
    </xf>
    <xf numFmtId="0" fontId="12" fillId="4" borderId="3" xfId="3" applyFont="1" applyFill="1"/>
    <xf numFmtId="0" fontId="7" fillId="3" borderId="0" xfId="0" applyFont="1" applyFill="1"/>
    <xf numFmtId="0" fontId="15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2" fillId="4" borderId="3" xfId="3" applyFont="1" applyFill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8" fillId="4" borderId="2" xfId="2" applyFont="1" applyFill="1" applyAlignment="1">
      <alignment horizontal="center"/>
    </xf>
    <xf numFmtId="0" fontId="16" fillId="0" borderId="1" xfId="0" applyFont="1" applyBorder="1" applyAlignment="1">
      <alignment horizontal="left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</cellXfs>
  <cellStyles count="4">
    <cellStyle name="Currency" xfId="1" builtinId="4"/>
    <cellStyle name="Heading 1" xfId="2" builtinId="16"/>
    <cellStyle name="Input" xfId="3" builtinId="20"/>
    <cellStyle name="Normal" xfId="0" builtinId="0"/>
  </cellStyles>
  <dxfs count="4">
    <dxf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43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Account Balance &amp; Drawdown Breach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68094172699524"/>
          <c:y val="0.17124228162391203"/>
          <c:w val="0.78151787383540139"/>
          <c:h val="0.70588729160104191"/>
        </c:manualLayout>
      </c:layout>
      <c:lineChart>
        <c:grouping val="standard"/>
        <c:varyColors val="0"/>
        <c:ser>
          <c:idx val="0"/>
          <c:order val="0"/>
          <c:tx>
            <c:strRef>
              <c:f>'Trade Simulation'!$D$23</c:f>
              <c:strCache>
                <c:ptCount val="1"/>
                <c:pt idx="0">
                  <c:v>Account Balance</c:v>
                </c:pt>
              </c:strCache>
            </c:strRef>
          </c:tx>
          <c:spPr>
            <a:ln w="28575" cap="rnd">
              <a:gradFill>
                <a:gsLst>
                  <a:gs pos="19000">
                    <a:srgbClr val="9437FF"/>
                  </a:gs>
                  <a:gs pos="50000">
                    <a:srgbClr val="4A1C80"/>
                  </a:gs>
                  <a:gs pos="92000">
                    <a:srgbClr val="00206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numRef>
              <c:f>'Trade Simulation'!$A$24:$A$123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'Trade Simulation'!$D$24:$D$123</c:f>
              <c:numCache>
                <c:formatCode>_("$"* #,##0.00_);_("$"* \(#,##0.00\);_("$"* "-"??_);_(@_)</c:formatCode>
                <c:ptCount val="100"/>
                <c:pt idx="0">
                  <c:v>49750</c:v>
                </c:pt>
                <c:pt idx="1">
                  <c:v>49775</c:v>
                </c:pt>
                <c:pt idx="2">
                  <c:v>49525</c:v>
                </c:pt>
                <c:pt idx="3">
                  <c:v>49275</c:v>
                </c:pt>
                <c:pt idx="4">
                  <c:v>49525</c:v>
                </c:pt>
                <c:pt idx="5">
                  <c:v>49550</c:v>
                </c:pt>
                <c:pt idx="6">
                  <c:v>49800</c:v>
                </c:pt>
                <c:pt idx="7">
                  <c:v>50050</c:v>
                </c:pt>
                <c:pt idx="8">
                  <c:v>50075</c:v>
                </c:pt>
                <c:pt idx="9">
                  <c:v>49825</c:v>
                </c:pt>
                <c:pt idx="10">
                  <c:v>49575</c:v>
                </c:pt>
                <c:pt idx="11">
                  <c:v>49825</c:v>
                </c:pt>
                <c:pt idx="12">
                  <c:v>50075</c:v>
                </c:pt>
                <c:pt idx="13">
                  <c:v>49825</c:v>
                </c:pt>
                <c:pt idx="14">
                  <c:v>50075</c:v>
                </c:pt>
                <c:pt idx="15">
                  <c:v>50100</c:v>
                </c:pt>
                <c:pt idx="16">
                  <c:v>50350</c:v>
                </c:pt>
                <c:pt idx="17">
                  <c:v>50600</c:v>
                </c:pt>
                <c:pt idx="18">
                  <c:v>50350</c:v>
                </c:pt>
                <c:pt idx="19">
                  <c:v>50600</c:v>
                </c:pt>
                <c:pt idx="20">
                  <c:v>50850</c:v>
                </c:pt>
                <c:pt idx="21">
                  <c:v>50600</c:v>
                </c:pt>
                <c:pt idx="22">
                  <c:v>50625</c:v>
                </c:pt>
                <c:pt idx="23">
                  <c:v>50375</c:v>
                </c:pt>
                <c:pt idx="24">
                  <c:v>50125</c:v>
                </c:pt>
                <c:pt idx="25">
                  <c:v>49875</c:v>
                </c:pt>
                <c:pt idx="26">
                  <c:v>49625</c:v>
                </c:pt>
                <c:pt idx="27">
                  <c:v>49875</c:v>
                </c:pt>
                <c:pt idx="28">
                  <c:v>50125</c:v>
                </c:pt>
                <c:pt idx="29">
                  <c:v>49875</c:v>
                </c:pt>
                <c:pt idx="30">
                  <c:v>50125</c:v>
                </c:pt>
                <c:pt idx="31">
                  <c:v>50150</c:v>
                </c:pt>
                <c:pt idx="32">
                  <c:v>50175</c:v>
                </c:pt>
                <c:pt idx="33">
                  <c:v>50425</c:v>
                </c:pt>
                <c:pt idx="34">
                  <c:v>50175</c:v>
                </c:pt>
                <c:pt idx="35">
                  <c:v>49925</c:v>
                </c:pt>
                <c:pt idx="36">
                  <c:v>50175</c:v>
                </c:pt>
                <c:pt idx="37">
                  <c:v>50200</c:v>
                </c:pt>
                <c:pt idx="38">
                  <c:v>50450</c:v>
                </c:pt>
                <c:pt idx="39">
                  <c:v>50700</c:v>
                </c:pt>
                <c:pt idx="40">
                  <c:v>50950</c:v>
                </c:pt>
                <c:pt idx="41">
                  <c:v>51200</c:v>
                </c:pt>
                <c:pt idx="42">
                  <c:v>50950</c:v>
                </c:pt>
                <c:pt idx="43">
                  <c:v>51200</c:v>
                </c:pt>
                <c:pt idx="44">
                  <c:v>50950</c:v>
                </c:pt>
                <c:pt idx="45">
                  <c:v>50975</c:v>
                </c:pt>
                <c:pt idx="46">
                  <c:v>51225</c:v>
                </c:pt>
                <c:pt idx="47">
                  <c:v>50975</c:v>
                </c:pt>
                <c:pt idx="48">
                  <c:v>50725</c:v>
                </c:pt>
                <c:pt idx="49">
                  <c:v>50975</c:v>
                </c:pt>
                <c:pt idx="50">
                  <c:v>51225</c:v>
                </c:pt>
                <c:pt idx="51">
                  <c:v>50975</c:v>
                </c:pt>
                <c:pt idx="52">
                  <c:v>51225</c:v>
                </c:pt>
                <c:pt idx="53">
                  <c:v>50975</c:v>
                </c:pt>
                <c:pt idx="54">
                  <c:v>51000</c:v>
                </c:pt>
                <c:pt idx="55">
                  <c:v>50750</c:v>
                </c:pt>
                <c:pt idx="56">
                  <c:v>50775</c:v>
                </c:pt>
                <c:pt idx="57">
                  <c:v>51025</c:v>
                </c:pt>
                <c:pt idx="58">
                  <c:v>50775</c:v>
                </c:pt>
                <c:pt idx="59">
                  <c:v>51025</c:v>
                </c:pt>
                <c:pt idx="60">
                  <c:v>51275</c:v>
                </c:pt>
                <c:pt idx="61">
                  <c:v>51025</c:v>
                </c:pt>
                <c:pt idx="62">
                  <c:v>51275</c:v>
                </c:pt>
                <c:pt idx="63">
                  <c:v>51525</c:v>
                </c:pt>
                <c:pt idx="64">
                  <c:v>51775</c:v>
                </c:pt>
                <c:pt idx="65">
                  <c:v>51525</c:v>
                </c:pt>
                <c:pt idx="66">
                  <c:v>51275</c:v>
                </c:pt>
                <c:pt idx="67">
                  <c:v>51300</c:v>
                </c:pt>
                <c:pt idx="68">
                  <c:v>51050</c:v>
                </c:pt>
                <c:pt idx="69">
                  <c:v>50800</c:v>
                </c:pt>
                <c:pt idx="70">
                  <c:v>51050</c:v>
                </c:pt>
                <c:pt idx="71">
                  <c:v>51300</c:v>
                </c:pt>
                <c:pt idx="72">
                  <c:v>51050</c:v>
                </c:pt>
                <c:pt idx="73">
                  <c:v>51300</c:v>
                </c:pt>
                <c:pt idx="74">
                  <c:v>51550</c:v>
                </c:pt>
                <c:pt idx="75">
                  <c:v>51300</c:v>
                </c:pt>
                <c:pt idx="76">
                  <c:v>51550</c:v>
                </c:pt>
                <c:pt idx="77">
                  <c:v>51800</c:v>
                </c:pt>
                <c:pt idx="78">
                  <c:v>51825</c:v>
                </c:pt>
                <c:pt idx="79">
                  <c:v>52075</c:v>
                </c:pt>
                <c:pt idx="80">
                  <c:v>51825</c:v>
                </c:pt>
                <c:pt idx="81">
                  <c:v>52075</c:v>
                </c:pt>
                <c:pt idx="82">
                  <c:v>51825</c:v>
                </c:pt>
                <c:pt idx="83">
                  <c:v>52075</c:v>
                </c:pt>
                <c:pt idx="84">
                  <c:v>52325</c:v>
                </c:pt>
                <c:pt idx="85">
                  <c:v>52075</c:v>
                </c:pt>
                <c:pt idx="86">
                  <c:v>51825</c:v>
                </c:pt>
                <c:pt idx="87">
                  <c:v>51575</c:v>
                </c:pt>
                <c:pt idx="88">
                  <c:v>51825</c:v>
                </c:pt>
                <c:pt idx="89">
                  <c:v>51575</c:v>
                </c:pt>
                <c:pt idx="90">
                  <c:v>51325</c:v>
                </c:pt>
                <c:pt idx="91">
                  <c:v>51075</c:v>
                </c:pt>
                <c:pt idx="92">
                  <c:v>51325</c:v>
                </c:pt>
                <c:pt idx="93">
                  <c:v>51575</c:v>
                </c:pt>
                <c:pt idx="94">
                  <c:v>51825</c:v>
                </c:pt>
                <c:pt idx="95">
                  <c:v>51575</c:v>
                </c:pt>
                <c:pt idx="96">
                  <c:v>51825</c:v>
                </c:pt>
                <c:pt idx="97">
                  <c:v>52075</c:v>
                </c:pt>
                <c:pt idx="98">
                  <c:v>51825</c:v>
                </c:pt>
                <c:pt idx="99">
                  <c:v>51850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EB-2C42-BEBB-A9EC93CD0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Trade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in val="4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solidFill>
            <a:srgbClr val="9437FF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162439</xdr:colOff>
      <xdr:row>21</xdr:row>
      <xdr:rowOff>39380</xdr:rowOff>
    </xdr:from>
    <xdr:ext cx="9456087" cy="580852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F4E5D0-1559-5A23-159C-5940337D4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10</xdr:col>
      <xdr:colOff>265814</xdr:colOff>
      <xdr:row>2</xdr:row>
      <xdr:rowOff>206744</xdr:rowOff>
    </xdr:from>
    <xdr:to>
      <xdr:col>11</xdr:col>
      <xdr:colOff>472558</xdr:colOff>
      <xdr:row>13</xdr:row>
      <xdr:rowOff>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DF0EA36C-C0F7-3A4F-9722-41056BBE5C96}"/>
            </a:ext>
          </a:extLst>
        </xdr:cNvPr>
        <xdr:cNvSpPr/>
      </xdr:nvSpPr>
      <xdr:spPr>
        <a:xfrm>
          <a:off x="10750698" y="580853"/>
          <a:ext cx="876201" cy="2825504"/>
        </a:xfrm>
        <a:prstGeom prst="rightBrace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25"/>
  <sheetViews>
    <sheetView tabSelected="1" topLeftCell="A15" zoomScale="129" zoomScaleNormal="129" workbookViewId="0">
      <selection activeCell="Q20" sqref="Q20"/>
    </sheetView>
  </sheetViews>
  <sheetFormatPr baseColWidth="10" defaultColWidth="8.83203125" defaultRowHeight="15"/>
  <cols>
    <col min="1" max="1" width="20.83203125" customWidth="1"/>
    <col min="2" max="2" width="22" style="1" customWidth="1"/>
    <col min="3" max="3" width="12.1640625" customWidth="1"/>
    <col min="4" max="4" width="13.83203125" customWidth="1"/>
    <col min="5" max="5" width="12.33203125" customWidth="1"/>
    <col min="6" max="6" width="11.83203125" customWidth="1"/>
    <col min="7" max="7" width="9.5" customWidth="1"/>
    <col min="8" max="8" width="0.33203125" hidden="1" customWidth="1"/>
    <col min="9" max="9" width="17.5" customWidth="1"/>
    <col min="10" max="10" width="17.6640625" customWidth="1"/>
    <col min="11" max="12" width="8.83203125" style="11"/>
    <col min="18" max="18" width="10.6640625" customWidth="1"/>
    <col min="21" max="21" width="17" customWidth="1"/>
  </cols>
  <sheetData>
    <row r="1" spans="1:21">
      <c r="A1" s="14"/>
      <c r="B1" s="15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>
      <c r="A2" s="14"/>
      <c r="B2" s="15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t="21">
      <c r="A3" s="14"/>
      <c r="B3" s="15"/>
      <c r="C3" s="14"/>
      <c r="D3" s="14"/>
      <c r="E3" s="38" t="s">
        <v>29</v>
      </c>
      <c r="F3" s="44" t="s">
        <v>30</v>
      </c>
      <c r="G3" s="44"/>
      <c r="H3" s="44"/>
      <c r="I3" s="44"/>
      <c r="J3" s="39" t="s">
        <v>31</v>
      </c>
      <c r="K3" s="14"/>
      <c r="L3" s="31"/>
      <c r="M3" s="31"/>
      <c r="N3" s="31"/>
      <c r="O3" s="31"/>
      <c r="P3" s="31"/>
      <c r="Q3" s="31"/>
      <c r="R3" s="31"/>
      <c r="S3" s="31"/>
      <c r="T3" s="14"/>
      <c r="U3" s="14"/>
    </row>
    <row r="4" spans="1:21" ht="21">
      <c r="A4" s="14"/>
      <c r="B4" s="15"/>
      <c r="C4" s="14"/>
      <c r="D4" s="14"/>
      <c r="E4" s="35">
        <v>1</v>
      </c>
      <c r="F4" s="47" t="s">
        <v>21</v>
      </c>
      <c r="G4" s="47"/>
      <c r="H4" s="47"/>
      <c r="I4" s="47"/>
      <c r="J4" s="12">
        <v>55</v>
      </c>
      <c r="K4" s="14"/>
      <c r="L4" s="31"/>
      <c r="M4" s="31"/>
      <c r="N4" s="31"/>
      <c r="O4" s="31"/>
      <c r="P4" s="31"/>
      <c r="Q4" s="31"/>
      <c r="R4" s="31"/>
      <c r="S4" s="31"/>
      <c r="T4" s="14"/>
      <c r="U4" s="14"/>
    </row>
    <row r="5" spans="1:21" ht="21">
      <c r="A5" s="14"/>
      <c r="B5" s="15"/>
      <c r="C5" s="14"/>
      <c r="D5" s="14"/>
      <c r="E5" s="35">
        <v>2</v>
      </c>
      <c r="F5" s="47" t="s">
        <v>22</v>
      </c>
      <c r="G5" s="47"/>
      <c r="H5" s="47"/>
      <c r="I5" s="47"/>
      <c r="J5" s="12">
        <v>10</v>
      </c>
      <c r="K5" s="14"/>
      <c r="L5" s="31"/>
      <c r="M5" s="31"/>
      <c r="N5" s="31"/>
      <c r="O5" s="31"/>
      <c r="P5" s="31"/>
      <c r="Q5" s="31"/>
      <c r="R5" s="31"/>
      <c r="S5" s="31"/>
      <c r="T5" s="14"/>
      <c r="U5" s="14"/>
    </row>
    <row r="6" spans="1:21" ht="21">
      <c r="A6" s="14"/>
      <c r="B6" s="15"/>
      <c r="C6" s="14"/>
      <c r="D6" s="14"/>
      <c r="E6" s="35">
        <v>3</v>
      </c>
      <c r="F6" s="47" t="s">
        <v>20</v>
      </c>
      <c r="G6" s="47"/>
      <c r="H6" s="47"/>
      <c r="I6" s="47"/>
      <c r="J6" s="12">
        <v>40</v>
      </c>
      <c r="K6" s="14"/>
      <c r="L6" s="31"/>
      <c r="M6" s="31"/>
      <c r="N6" s="31"/>
      <c r="O6" s="31"/>
      <c r="P6" s="31"/>
      <c r="Q6" s="31"/>
      <c r="R6" s="31"/>
      <c r="S6" s="31"/>
      <c r="T6" s="14"/>
      <c r="U6" s="14"/>
    </row>
    <row r="7" spans="1:21" ht="29" customHeight="1">
      <c r="A7" s="42" t="s">
        <v>36</v>
      </c>
      <c r="B7" s="42"/>
      <c r="C7" s="42"/>
      <c r="D7" s="43"/>
      <c r="E7" s="35">
        <v>4</v>
      </c>
      <c r="F7" s="47" t="s">
        <v>23</v>
      </c>
      <c r="G7" s="47"/>
      <c r="H7" s="47"/>
      <c r="I7" s="47"/>
      <c r="J7" s="13">
        <v>50000</v>
      </c>
      <c r="K7" s="14"/>
      <c r="L7" s="31"/>
      <c r="M7" s="41" t="s">
        <v>35</v>
      </c>
      <c r="N7" s="41"/>
      <c r="O7" s="41"/>
      <c r="P7" s="41"/>
      <c r="Q7" s="41"/>
      <c r="R7" s="41"/>
      <c r="S7" s="31"/>
      <c r="T7" s="14"/>
      <c r="U7" s="14"/>
    </row>
    <row r="8" spans="1:21" ht="21">
      <c r="A8" s="42"/>
      <c r="B8" s="42"/>
      <c r="C8" s="42"/>
      <c r="D8" s="43"/>
      <c r="E8" s="35">
        <v>5</v>
      </c>
      <c r="F8" s="47" t="s">
        <v>27</v>
      </c>
      <c r="G8" s="47"/>
      <c r="H8" s="47"/>
      <c r="I8" s="47"/>
      <c r="J8" s="13">
        <v>2000</v>
      </c>
      <c r="K8" s="14"/>
      <c r="L8" s="31"/>
      <c r="M8" s="41"/>
      <c r="N8" s="41"/>
      <c r="O8" s="41"/>
      <c r="P8" s="41"/>
      <c r="Q8" s="41"/>
      <c r="R8" s="41"/>
      <c r="S8" s="31"/>
      <c r="T8" s="14"/>
      <c r="U8" s="14"/>
    </row>
    <row r="9" spans="1:21" ht="21">
      <c r="A9" s="42"/>
      <c r="B9" s="42"/>
      <c r="C9" s="42"/>
      <c r="D9" s="43"/>
      <c r="E9" s="35">
        <v>6</v>
      </c>
      <c r="F9" s="47" t="s">
        <v>28</v>
      </c>
      <c r="G9" s="47"/>
      <c r="H9" s="47"/>
      <c r="I9" s="47"/>
      <c r="J9" s="13">
        <v>2100</v>
      </c>
      <c r="K9" s="14"/>
      <c r="L9" s="31"/>
      <c r="M9" s="41"/>
      <c r="N9" s="41"/>
      <c r="O9" s="41"/>
      <c r="P9" s="41"/>
      <c r="Q9" s="41"/>
      <c r="R9" s="41"/>
      <c r="S9" s="31"/>
      <c r="T9" s="14"/>
      <c r="U9" s="14"/>
    </row>
    <row r="10" spans="1:21" ht="22" thickBot="1">
      <c r="A10" s="14"/>
      <c r="B10" s="37" t="s">
        <v>39</v>
      </c>
      <c r="C10" s="14"/>
      <c r="D10" s="14"/>
      <c r="E10" s="35">
        <v>7</v>
      </c>
      <c r="F10" s="47" t="s">
        <v>24</v>
      </c>
      <c r="G10" s="47"/>
      <c r="H10" s="47"/>
      <c r="I10" s="47"/>
      <c r="J10" s="13">
        <v>250</v>
      </c>
      <c r="K10" s="14"/>
      <c r="L10" s="31"/>
      <c r="M10" s="41"/>
      <c r="N10" s="41"/>
      <c r="O10" s="41"/>
      <c r="P10" s="41"/>
      <c r="Q10" s="41"/>
      <c r="R10" s="41"/>
      <c r="S10" s="31"/>
      <c r="T10" s="14"/>
      <c r="U10" s="14"/>
    </row>
    <row r="11" spans="1:21" ht="21">
      <c r="A11" s="16" t="s">
        <v>0</v>
      </c>
      <c r="B11" s="17">
        <f>J4</f>
        <v>55</v>
      </c>
      <c r="C11" s="48" t="s">
        <v>17</v>
      </c>
      <c r="D11" s="49"/>
      <c r="E11" s="36">
        <v>8</v>
      </c>
      <c r="F11" s="47" t="s">
        <v>25</v>
      </c>
      <c r="G11" s="47"/>
      <c r="H11" s="47"/>
      <c r="I11" s="47"/>
      <c r="J11" s="12">
        <v>1</v>
      </c>
      <c r="K11" s="14"/>
      <c r="L11" s="31"/>
      <c r="M11" s="31"/>
      <c r="N11" s="34" t="s">
        <v>37</v>
      </c>
      <c r="O11" s="31"/>
      <c r="P11" s="31"/>
      <c r="Q11" s="31"/>
      <c r="R11" s="31"/>
      <c r="S11" s="31"/>
      <c r="T11" s="14"/>
      <c r="U11" s="14"/>
    </row>
    <row r="12" spans="1:21" ht="21">
      <c r="A12" s="18" t="s">
        <v>1</v>
      </c>
      <c r="B12" s="19">
        <f>J5</f>
        <v>10</v>
      </c>
      <c r="C12" s="50"/>
      <c r="D12" s="51"/>
      <c r="E12" s="36">
        <v>9</v>
      </c>
      <c r="F12" s="47" t="s">
        <v>26</v>
      </c>
      <c r="G12" s="47"/>
      <c r="H12" s="47"/>
      <c r="I12" s="47"/>
      <c r="J12" s="12">
        <v>0.1</v>
      </c>
      <c r="K12" s="14"/>
      <c r="L12" s="31"/>
      <c r="M12" s="31"/>
      <c r="N12" s="31"/>
      <c r="O12" s="31"/>
      <c r="P12" s="31"/>
      <c r="Q12" s="31"/>
      <c r="R12" s="31"/>
      <c r="S12" s="31"/>
      <c r="T12" s="14"/>
      <c r="U12" s="14"/>
    </row>
    <row r="13" spans="1:21" ht="21">
      <c r="A13" s="18" t="s">
        <v>2</v>
      </c>
      <c r="B13" s="19">
        <f>J6</f>
        <v>40</v>
      </c>
      <c r="C13" s="50"/>
      <c r="D13" s="51"/>
      <c r="E13" s="36">
        <v>10</v>
      </c>
      <c r="F13" s="47" t="s">
        <v>40</v>
      </c>
      <c r="G13" s="47"/>
      <c r="H13" s="47"/>
      <c r="I13" s="47"/>
      <c r="J13" s="13">
        <v>52600</v>
      </c>
      <c r="K13" s="14"/>
      <c r="L13" s="31"/>
      <c r="M13" s="31"/>
      <c r="N13" s="31"/>
      <c r="O13" s="31"/>
      <c r="P13" s="31"/>
      <c r="Q13" s="31"/>
      <c r="R13" s="31"/>
      <c r="S13" s="31"/>
      <c r="T13" s="14"/>
      <c r="U13" s="14"/>
    </row>
    <row r="14" spans="1:21" ht="19">
      <c r="A14" s="18" t="s">
        <v>3</v>
      </c>
      <c r="B14" s="20">
        <f>J7</f>
        <v>50000</v>
      </c>
      <c r="C14" s="14"/>
      <c r="D14" s="21"/>
      <c r="K14" s="14"/>
      <c r="L14" s="14"/>
      <c r="M14" s="40" t="s">
        <v>38</v>
      </c>
      <c r="N14" s="14"/>
      <c r="O14" s="14"/>
      <c r="P14" s="14"/>
      <c r="Q14" s="14"/>
      <c r="R14" s="14"/>
      <c r="S14" s="14"/>
      <c r="T14" s="14"/>
      <c r="U14" s="14"/>
    </row>
    <row r="15" spans="1:21" ht="17">
      <c r="A15" s="18" t="s">
        <v>16</v>
      </c>
      <c r="B15" s="20">
        <f>J10</f>
        <v>250</v>
      </c>
      <c r="C15" s="14"/>
      <c r="D15" s="21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ht="17">
      <c r="A16" s="18" t="s">
        <v>4</v>
      </c>
      <c r="B16" s="22">
        <f>J11</f>
        <v>1</v>
      </c>
      <c r="C16" s="14"/>
      <c r="D16" s="21"/>
      <c r="K16" s="14"/>
      <c r="L16" s="14"/>
      <c r="M16" s="14"/>
      <c r="N16" s="14"/>
      <c r="O16" s="14"/>
      <c r="P16" s="14" t="s">
        <v>41</v>
      </c>
      <c r="Q16" s="14"/>
      <c r="R16" s="14"/>
      <c r="S16" s="14"/>
      <c r="T16" s="14"/>
      <c r="U16" s="14"/>
    </row>
    <row r="17" spans="1:21" ht="21" thickBot="1">
      <c r="A17" s="18" t="s">
        <v>5</v>
      </c>
      <c r="B17" s="22">
        <f>J12</f>
        <v>0.1</v>
      </c>
      <c r="C17" s="14"/>
      <c r="D17" s="21"/>
      <c r="E17" s="46" t="s">
        <v>32</v>
      </c>
      <c r="F17" s="46"/>
      <c r="G17" s="46"/>
      <c r="H17" s="46"/>
      <c r="I17" s="46"/>
      <c r="J17" s="46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 ht="22" thickTop="1">
      <c r="A18" s="18" t="s">
        <v>13</v>
      </c>
      <c r="B18" s="23">
        <f ca="1">COUNT(H25:H511)</f>
        <v>0</v>
      </c>
      <c r="C18" s="24" t="s">
        <v>18</v>
      </c>
      <c r="D18" s="21"/>
      <c r="E18" s="35">
        <v>1</v>
      </c>
      <c r="F18" s="45" t="s">
        <v>34</v>
      </c>
      <c r="G18" s="45"/>
      <c r="H18" s="45"/>
      <c r="I18" s="45"/>
      <c r="J18" s="32" t="e">
        <f ca="1">C19</f>
        <v>#VALUE!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 ht="34">
      <c r="A19" s="18" t="s">
        <v>15</v>
      </c>
      <c r="B19" s="23" t="str" cm="1">
        <f t="array" aca="1" ref="B19" ca="1">IFERROR(INDEX($A$24:$A$1011, MATCH(TRUE, $D$24:$D$1011&gt;=J13, 0)), "Not Yet Reached")</f>
        <v>Not Yet Reached</v>
      </c>
      <c r="C19" s="25" t="e">
        <f ca="1">B19/1</f>
        <v>#VALUE!</v>
      </c>
      <c r="D19" s="26" t="s">
        <v>19</v>
      </c>
      <c r="E19" s="35">
        <v>2</v>
      </c>
      <c r="F19" s="45" t="s">
        <v>33</v>
      </c>
      <c r="G19" s="45"/>
      <c r="H19" s="45"/>
      <c r="I19" s="45"/>
      <c r="J19" s="33">
        <f ca="1">B18</f>
        <v>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 ht="16">
      <c r="A20" s="18"/>
      <c r="B20" s="23"/>
      <c r="C20" s="25"/>
      <c r="D20" s="26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 ht="17" thickBot="1">
      <c r="A21" s="27"/>
      <c r="B21" s="28"/>
      <c r="C21" s="29"/>
      <c r="D21" s="30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>
      <c r="A22" s="14"/>
      <c r="B22" s="15"/>
      <c r="C22" s="14"/>
      <c r="D22" s="14"/>
      <c r="E22" s="14"/>
      <c r="F22" s="14"/>
      <c r="G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 ht="144">
      <c r="A23" s="6" t="s">
        <v>6</v>
      </c>
      <c r="B23" s="7" t="s">
        <v>7</v>
      </c>
      <c r="C23" s="6" t="s">
        <v>8</v>
      </c>
      <c r="D23" s="6" t="s">
        <v>9</v>
      </c>
      <c r="E23" s="6" t="s">
        <v>10</v>
      </c>
      <c r="F23" s="6" t="s">
        <v>11</v>
      </c>
      <c r="G23" s="6" t="s">
        <v>12</v>
      </c>
      <c r="H23" s="6" t="s">
        <v>14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>
      <c r="A24" s="4">
        <v>1</v>
      </c>
      <c r="B24" s="5">
        <f t="shared" ref="B24:B55" ca="1" si="0">RAND()</f>
        <v>0.86982117685983062</v>
      </c>
      <c r="C24" s="9">
        <f t="shared" ref="C24:C55" ca="1" si="1">IF($B$12=0, IF(B24&lt;$B$11/100, $B$15*$B$16, -$B$15), IF(B24&lt;$B$11/100, $B$15*$B$16, IF(B24&lt;$B$11/100+$B$12/100, $B$15*$B$17, -$B$15)))</f>
        <v>-250</v>
      </c>
      <c r="D24" s="9">
        <f ca="1">$B$14 + C24</f>
        <v>49750</v>
      </c>
      <c r="E24" s="9">
        <f ca="1">D24</f>
        <v>49750</v>
      </c>
      <c r="F24" s="9">
        <f ca="1">D24-L24</f>
        <v>47750</v>
      </c>
      <c r="G24" s="4">
        <f ca="1">IF(D24&lt;=F24,1,0)</f>
        <v>0</v>
      </c>
      <c r="H24" s="8" t="str">
        <f ca="1">IF(G24=1,1,"")</f>
        <v/>
      </c>
      <c r="I24" s="14"/>
      <c r="J24" s="14"/>
      <c r="K24" s="14">
        <f>J9+J7</f>
        <v>52100</v>
      </c>
      <c r="L24" s="14">
        <f>J8</f>
        <v>2000</v>
      </c>
      <c r="M24" s="14"/>
      <c r="N24" s="14"/>
      <c r="O24" s="14"/>
      <c r="P24" s="14"/>
      <c r="Q24" s="14"/>
      <c r="R24" s="14"/>
      <c r="S24" s="14"/>
      <c r="T24" s="14"/>
      <c r="U24" s="14"/>
    </row>
    <row r="25" spans="1:21">
      <c r="A25" s="4">
        <v>2</v>
      </c>
      <c r="B25" s="5">
        <f t="shared" ca="1" si="0"/>
        <v>0.56384770147104857</v>
      </c>
      <c r="C25" s="10">
        <f t="shared" ca="1" si="1"/>
        <v>25</v>
      </c>
      <c r="D25" s="9">
        <f t="shared" ref="D25:D56" ca="1" si="2">IF(G24=1,$B$14,D24+C25)</f>
        <v>49775</v>
      </c>
      <c r="E25" s="9">
        <f t="shared" ref="E25:E56" ca="1" si="3">IF(G24=1,$B$14,MAX(E24,D25))</f>
        <v>49775</v>
      </c>
      <c r="F25" s="9">
        <f ca="1">IF(G24=1,$B$14-L25,IF(E25&gt;K25,$B$14,MAX(F24,D25-L25)))</f>
        <v>47775</v>
      </c>
      <c r="G25" s="4">
        <f t="shared" ref="G25:G56" ca="1" si="4">IF(G24=1,0,IF(D25&lt;=F25,1,0))</f>
        <v>0</v>
      </c>
      <c r="H25" s="8" t="str">
        <f t="shared" ref="H25:H56" ca="1" si="5">IF(AND(G25=1,G24=0),1,"")</f>
        <v/>
      </c>
      <c r="I25" s="14"/>
      <c r="J25" s="14"/>
      <c r="K25" s="14">
        <f>K24</f>
        <v>52100</v>
      </c>
      <c r="L25" s="14">
        <f>L24</f>
        <v>2000</v>
      </c>
      <c r="M25" s="14"/>
      <c r="N25" s="14"/>
      <c r="O25" s="14"/>
      <c r="P25" s="14"/>
      <c r="Q25" s="14"/>
      <c r="R25" s="14"/>
      <c r="S25" s="14"/>
      <c r="T25" s="14"/>
      <c r="U25" s="14"/>
    </row>
    <row r="26" spans="1:21">
      <c r="A26" s="4">
        <v>3</v>
      </c>
      <c r="B26" s="5">
        <f t="shared" ca="1" si="0"/>
        <v>0.68468837397724036</v>
      </c>
      <c r="C26" s="9">
        <f t="shared" ca="1" si="1"/>
        <v>-250</v>
      </c>
      <c r="D26" s="9">
        <f t="shared" ca="1" si="2"/>
        <v>49525</v>
      </c>
      <c r="E26" s="9">
        <f t="shared" ca="1" si="3"/>
        <v>49775</v>
      </c>
      <c r="F26" s="9">
        <f ca="1">IF(G25=1,$B$14-L26,IF(E26&gt;K26,$B$14,MAX(F25,D26-L26)))</f>
        <v>47775</v>
      </c>
      <c r="G26" s="4">
        <f t="shared" ca="1" si="4"/>
        <v>0</v>
      </c>
      <c r="H26" s="8" t="str">
        <f t="shared" ca="1" si="5"/>
        <v/>
      </c>
      <c r="I26" s="14"/>
      <c r="J26" s="14"/>
      <c r="K26" s="14">
        <f t="shared" ref="K26:K89" si="6">K25</f>
        <v>52100</v>
      </c>
      <c r="L26" s="14">
        <f t="shared" ref="L26:L89" si="7">L25</f>
        <v>2000</v>
      </c>
      <c r="M26" s="14"/>
      <c r="N26" s="14"/>
      <c r="O26" s="14"/>
      <c r="P26" s="14"/>
      <c r="Q26" s="14"/>
      <c r="R26" s="14"/>
      <c r="S26" s="14"/>
      <c r="T26" s="14"/>
      <c r="U26" s="14"/>
    </row>
    <row r="27" spans="1:21">
      <c r="A27" s="4">
        <v>4</v>
      </c>
      <c r="B27" s="5">
        <f t="shared" ca="1" si="0"/>
        <v>0.68281354089522817</v>
      </c>
      <c r="C27" s="9">
        <f t="shared" ca="1" si="1"/>
        <v>-250</v>
      </c>
      <c r="D27" s="9">
        <f t="shared" ca="1" si="2"/>
        <v>49275</v>
      </c>
      <c r="E27" s="9">
        <f t="shared" ca="1" si="3"/>
        <v>49775</v>
      </c>
      <c r="F27" s="9">
        <f ca="1">IF(G26=1,$B$14-L27,IF(E27&gt;K27,$B$14,MAX(F26,D27-L27)))</f>
        <v>47775</v>
      </c>
      <c r="G27" s="4">
        <f t="shared" ca="1" si="4"/>
        <v>0</v>
      </c>
      <c r="H27" s="8" t="str">
        <f t="shared" ca="1" si="5"/>
        <v/>
      </c>
      <c r="I27" s="14"/>
      <c r="J27" s="14"/>
      <c r="K27" s="14">
        <f t="shared" si="6"/>
        <v>52100</v>
      </c>
      <c r="L27" s="14">
        <f t="shared" si="7"/>
        <v>2000</v>
      </c>
      <c r="M27" s="14"/>
      <c r="N27" s="14"/>
      <c r="O27" s="14"/>
      <c r="P27" s="14"/>
      <c r="Q27" s="14"/>
      <c r="R27" s="14"/>
      <c r="S27" s="14"/>
      <c r="T27" s="14"/>
      <c r="U27" s="14"/>
    </row>
    <row r="28" spans="1:21">
      <c r="A28" s="4">
        <v>5</v>
      </c>
      <c r="B28" s="5">
        <f t="shared" ca="1" si="0"/>
        <v>0.2849622546390389</v>
      </c>
      <c r="C28" s="9">
        <f t="shared" ca="1" si="1"/>
        <v>250</v>
      </c>
      <c r="D28" s="9">
        <f t="shared" ca="1" si="2"/>
        <v>49525</v>
      </c>
      <c r="E28" s="9">
        <f t="shared" ca="1" si="3"/>
        <v>49775</v>
      </c>
      <c r="F28" s="9">
        <f t="shared" ref="F28:F91" ca="1" si="8">IF(G27=1,$B$14-L28,IF(E28&gt;K28,$B$14,MAX(F27,D28-L28)))</f>
        <v>47775</v>
      </c>
      <c r="G28" s="4">
        <f t="shared" ca="1" si="4"/>
        <v>0</v>
      </c>
      <c r="H28" s="8" t="str">
        <f t="shared" ca="1" si="5"/>
        <v/>
      </c>
      <c r="I28" s="14"/>
      <c r="J28" s="14"/>
      <c r="K28" s="14">
        <f t="shared" si="6"/>
        <v>52100</v>
      </c>
      <c r="L28" s="14">
        <f t="shared" si="7"/>
        <v>2000</v>
      </c>
      <c r="M28" s="14"/>
      <c r="N28" s="14"/>
      <c r="O28" s="14"/>
      <c r="P28" s="14"/>
      <c r="Q28" s="14"/>
      <c r="R28" s="14"/>
      <c r="S28" s="14"/>
      <c r="T28" s="14"/>
      <c r="U28" s="14"/>
    </row>
    <row r="29" spans="1:21">
      <c r="A29" s="4">
        <v>6</v>
      </c>
      <c r="B29" s="5">
        <f t="shared" ca="1" si="0"/>
        <v>0.56172463837263087</v>
      </c>
      <c r="C29" s="9">
        <f t="shared" ca="1" si="1"/>
        <v>25</v>
      </c>
      <c r="D29" s="9">
        <f t="shared" ca="1" si="2"/>
        <v>49550</v>
      </c>
      <c r="E29" s="9">
        <f t="shared" ca="1" si="3"/>
        <v>49775</v>
      </c>
      <c r="F29" s="9">
        <f t="shared" ca="1" si="8"/>
        <v>47775</v>
      </c>
      <c r="G29" s="4">
        <f t="shared" ca="1" si="4"/>
        <v>0</v>
      </c>
      <c r="H29" s="8" t="str">
        <f t="shared" ca="1" si="5"/>
        <v/>
      </c>
      <c r="I29" s="14"/>
      <c r="J29" s="14"/>
      <c r="K29" s="14">
        <f t="shared" si="6"/>
        <v>52100</v>
      </c>
      <c r="L29" s="14">
        <f t="shared" si="7"/>
        <v>2000</v>
      </c>
      <c r="M29" s="14"/>
      <c r="N29" s="14"/>
      <c r="O29" s="14"/>
      <c r="P29" s="14"/>
      <c r="Q29" s="14"/>
      <c r="R29" s="14"/>
      <c r="S29" s="14"/>
      <c r="T29" s="14"/>
      <c r="U29" s="14"/>
    </row>
    <row r="30" spans="1:21">
      <c r="A30" s="4">
        <v>7</v>
      </c>
      <c r="B30" s="5">
        <f t="shared" ca="1" si="0"/>
        <v>0.13199206042091471</v>
      </c>
      <c r="C30" s="9">
        <f t="shared" ca="1" si="1"/>
        <v>250</v>
      </c>
      <c r="D30" s="9">
        <f t="shared" ca="1" si="2"/>
        <v>49800</v>
      </c>
      <c r="E30" s="9">
        <f t="shared" ca="1" si="3"/>
        <v>49800</v>
      </c>
      <c r="F30" s="9">
        <f t="shared" ca="1" si="8"/>
        <v>47800</v>
      </c>
      <c r="G30" s="4">
        <f t="shared" ca="1" si="4"/>
        <v>0</v>
      </c>
      <c r="H30" s="8" t="str">
        <f t="shared" ca="1" si="5"/>
        <v/>
      </c>
      <c r="I30" s="14"/>
      <c r="J30" s="14"/>
      <c r="K30" s="14">
        <f t="shared" si="6"/>
        <v>52100</v>
      </c>
      <c r="L30" s="14">
        <f t="shared" si="7"/>
        <v>2000</v>
      </c>
      <c r="M30" s="14"/>
      <c r="N30" s="14"/>
      <c r="O30" s="14"/>
      <c r="P30" s="14"/>
      <c r="Q30" s="14"/>
      <c r="R30" s="14"/>
      <c r="S30" s="14"/>
      <c r="T30" s="14"/>
      <c r="U30" s="14"/>
    </row>
    <row r="31" spans="1:21">
      <c r="A31" s="4">
        <v>8</v>
      </c>
      <c r="B31" s="5">
        <f t="shared" ca="1" si="0"/>
        <v>4.7241966999979623E-2</v>
      </c>
      <c r="C31" s="9">
        <f t="shared" ca="1" si="1"/>
        <v>250</v>
      </c>
      <c r="D31" s="9">
        <f t="shared" ca="1" si="2"/>
        <v>50050</v>
      </c>
      <c r="E31" s="9">
        <f t="shared" ca="1" si="3"/>
        <v>50050</v>
      </c>
      <c r="F31" s="9">
        <f t="shared" ca="1" si="8"/>
        <v>48050</v>
      </c>
      <c r="G31" s="4">
        <f t="shared" ca="1" si="4"/>
        <v>0</v>
      </c>
      <c r="H31" s="8" t="str">
        <f t="shared" ca="1" si="5"/>
        <v/>
      </c>
      <c r="I31" s="14"/>
      <c r="J31" s="14"/>
      <c r="K31" s="14">
        <f t="shared" si="6"/>
        <v>52100</v>
      </c>
      <c r="L31" s="14">
        <f t="shared" si="7"/>
        <v>2000</v>
      </c>
      <c r="M31" s="14"/>
      <c r="N31" s="14"/>
      <c r="O31" s="14"/>
      <c r="P31" s="14"/>
      <c r="Q31" s="14"/>
      <c r="R31" s="14"/>
      <c r="S31" s="14"/>
      <c r="T31" s="14"/>
      <c r="U31" s="14"/>
    </row>
    <row r="32" spans="1:21">
      <c r="A32" s="4">
        <v>9</v>
      </c>
      <c r="B32" s="5">
        <f t="shared" ca="1" si="0"/>
        <v>0.58924597960775715</v>
      </c>
      <c r="C32" s="9">
        <f t="shared" ca="1" si="1"/>
        <v>25</v>
      </c>
      <c r="D32" s="9">
        <f t="shared" ca="1" si="2"/>
        <v>50075</v>
      </c>
      <c r="E32" s="9">
        <f t="shared" ca="1" si="3"/>
        <v>50075</v>
      </c>
      <c r="F32" s="9">
        <f t="shared" ca="1" si="8"/>
        <v>48075</v>
      </c>
      <c r="G32" s="4">
        <f t="shared" ca="1" si="4"/>
        <v>0</v>
      </c>
      <c r="H32" s="8" t="str">
        <f t="shared" ca="1" si="5"/>
        <v/>
      </c>
      <c r="I32" s="14"/>
      <c r="J32" s="14"/>
      <c r="K32" s="14">
        <f t="shared" si="6"/>
        <v>52100</v>
      </c>
      <c r="L32" s="14">
        <f t="shared" si="7"/>
        <v>2000</v>
      </c>
      <c r="M32" s="14"/>
      <c r="N32" s="14"/>
      <c r="O32" s="14"/>
      <c r="P32" s="14"/>
      <c r="Q32" s="14"/>
      <c r="R32" s="14"/>
      <c r="S32" s="14"/>
      <c r="T32" s="14"/>
      <c r="U32" s="14"/>
    </row>
    <row r="33" spans="1:21">
      <c r="A33" s="4">
        <v>10</v>
      </c>
      <c r="B33" s="5">
        <f t="shared" ca="1" si="0"/>
        <v>0.76275535187997734</v>
      </c>
      <c r="C33" s="9">
        <f t="shared" ca="1" si="1"/>
        <v>-250</v>
      </c>
      <c r="D33" s="9">
        <f t="shared" ca="1" si="2"/>
        <v>49825</v>
      </c>
      <c r="E33" s="9">
        <f t="shared" ca="1" si="3"/>
        <v>50075</v>
      </c>
      <c r="F33" s="9">
        <f t="shared" ca="1" si="8"/>
        <v>48075</v>
      </c>
      <c r="G33" s="4">
        <f t="shared" ca="1" si="4"/>
        <v>0</v>
      </c>
      <c r="H33" s="8" t="str">
        <f t="shared" ca="1" si="5"/>
        <v/>
      </c>
      <c r="I33" s="14"/>
      <c r="J33" s="14"/>
      <c r="K33" s="14">
        <f t="shared" si="6"/>
        <v>52100</v>
      </c>
      <c r="L33" s="14">
        <f t="shared" si="7"/>
        <v>2000</v>
      </c>
      <c r="M33" s="14"/>
      <c r="N33" s="14"/>
      <c r="O33" s="14"/>
      <c r="P33" s="14"/>
      <c r="Q33" s="14"/>
      <c r="R33" s="14"/>
      <c r="S33" s="14"/>
      <c r="T33" s="14"/>
      <c r="U33" s="14"/>
    </row>
    <row r="34" spans="1:21">
      <c r="A34" s="4">
        <v>11</v>
      </c>
      <c r="B34" s="5">
        <f t="shared" ca="1" si="0"/>
        <v>0.94977104050704253</v>
      </c>
      <c r="C34" s="9">
        <f t="shared" ca="1" si="1"/>
        <v>-250</v>
      </c>
      <c r="D34" s="9">
        <f t="shared" ca="1" si="2"/>
        <v>49575</v>
      </c>
      <c r="E34" s="9">
        <f t="shared" ca="1" si="3"/>
        <v>50075</v>
      </c>
      <c r="F34" s="9">
        <f t="shared" ca="1" si="8"/>
        <v>48075</v>
      </c>
      <c r="G34" s="4">
        <f t="shared" ca="1" si="4"/>
        <v>0</v>
      </c>
      <c r="H34" s="8" t="str">
        <f t="shared" ca="1" si="5"/>
        <v/>
      </c>
      <c r="I34" s="14"/>
      <c r="J34" s="14"/>
      <c r="K34" s="14">
        <f t="shared" si="6"/>
        <v>52100</v>
      </c>
      <c r="L34" s="14">
        <f t="shared" si="7"/>
        <v>2000</v>
      </c>
      <c r="M34" s="14"/>
      <c r="N34" s="14"/>
      <c r="O34" s="14"/>
      <c r="P34" s="14"/>
      <c r="Q34" s="14"/>
      <c r="R34" s="14"/>
      <c r="S34" s="14"/>
      <c r="T34" s="14"/>
      <c r="U34" s="14"/>
    </row>
    <row r="35" spans="1:21">
      <c r="A35" s="4">
        <v>12</v>
      </c>
      <c r="B35" s="5">
        <f t="shared" ca="1" si="0"/>
        <v>0.37075607613763029</v>
      </c>
      <c r="C35" s="9">
        <f t="shared" ca="1" si="1"/>
        <v>250</v>
      </c>
      <c r="D35" s="9">
        <f t="shared" ca="1" si="2"/>
        <v>49825</v>
      </c>
      <c r="E35" s="9">
        <f t="shared" ca="1" si="3"/>
        <v>50075</v>
      </c>
      <c r="F35" s="9">
        <f t="shared" ca="1" si="8"/>
        <v>48075</v>
      </c>
      <c r="G35" s="4">
        <f t="shared" ca="1" si="4"/>
        <v>0</v>
      </c>
      <c r="H35" s="8" t="str">
        <f t="shared" ca="1" si="5"/>
        <v/>
      </c>
      <c r="I35" s="14"/>
      <c r="J35" s="14"/>
      <c r="K35" s="14">
        <f t="shared" si="6"/>
        <v>52100</v>
      </c>
      <c r="L35" s="14">
        <f t="shared" si="7"/>
        <v>2000</v>
      </c>
      <c r="M35" s="14"/>
      <c r="N35" s="14"/>
      <c r="O35" s="14"/>
      <c r="P35" s="14"/>
      <c r="Q35" s="14"/>
      <c r="R35" s="14"/>
      <c r="S35" s="14"/>
      <c r="T35" s="14"/>
      <c r="U35" s="14"/>
    </row>
    <row r="36" spans="1:21">
      <c r="A36" s="4">
        <v>13</v>
      </c>
      <c r="B36" s="5">
        <f t="shared" ca="1" si="0"/>
        <v>0.52661050245840602</v>
      </c>
      <c r="C36" s="9">
        <f t="shared" ca="1" si="1"/>
        <v>250</v>
      </c>
      <c r="D36" s="9">
        <f t="shared" ca="1" si="2"/>
        <v>50075</v>
      </c>
      <c r="E36" s="9">
        <f t="shared" ca="1" si="3"/>
        <v>50075</v>
      </c>
      <c r="F36" s="9">
        <f t="shared" ca="1" si="8"/>
        <v>48075</v>
      </c>
      <c r="G36" s="4">
        <f t="shared" ca="1" si="4"/>
        <v>0</v>
      </c>
      <c r="H36" s="8" t="str">
        <f t="shared" ca="1" si="5"/>
        <v/>
      </c>
      <c r="I36" s="14"/>
      <c r="J36" s="14"/>
      <c r="K36" s="14">
        <f t="shared" si="6"/>
        <v>52100</v>
      </c>
      <c r="L36" s="14">
        <f t="shared" si="7"/>
        <v>2000</v>
      </c>
      <c r="M36" s="14"/>
      <c r="N36" s="14"/>
      <c r="O36" s="14"/>
      <c r="P36" s="14"/>
      <c r="Q36" s="14"/>
      <c r="R36" s="14"/>
      <c r="S36" s="14"/>
      <c r="T36" s="14"/>
      <c r="U36" s="14"/>
    </row>
    <row r="37" spans="1:21">
      <c r="A37" s="4">
        <v>14</v>
      </c>
      <c r="B37" s="5">
        <f t="shared" ca="1" si="0"/>
        <v>0.84452026446524586</v>
      </c>
      <c r="C37" s="9">
        <f t="shared" ca="1" si="1"/>
        <v>-250</v>
      </c>
      <c r="D37" s="9">
        <f t="shared" ca="1" si="2"/>
        <v>49825</v>
      </c>
      <c r="E37" s="9">
        <f t="shared" ca="1" si="3"/>
        <v>50075</v>
      </c>
      <c r="F37" s="9">
        <f t="shared" ca="1" si="8"/>
        <v>48075</v>
      </c>
      <c r="G37" s="4">
        <f t="shared" ca="1" si="4"/>
        <v>0</v>
      </c>
      <c r="H37" s="8" t="str">
        <f t="shared" ca="1" si="5"/>
        <v/>
      </c>
      <c r="I37" s="14"/>
      <c r="J37" s="14"/>
      <c r="K37" s="14">
        <f t="shared" si="6"/>
        <v>52100</v>
      </c>
      <c r="L37" s="14">
        <f t="shared" si="7"/>
        <v>2000</v>
      </c>
      <c r="M37" s="14"/>
      <c r="N37" s="14"/>
      <c r="O37" s="14"/>
      <c r="P37" s="14"/>
      <c r="Q37" s="14"/>
      <c r="R37" s="14"/>
      <c r="S37" s="14"/>
      <c r="T37" s="14"/>
      <c r="U37" s="14"/>
    </row>
    <row r="38" spans="1:21">
      <c r="A38" s="4">
        <v>15</v>
      </c>
      <c r="B38" s="5">
        <f t="shared" ca="1" si="0"/>
        <v>9.1642380375246413E-3</v>
      </c>
      <c r="C38" s="9">
        <f t="shared" ca="1" si="1"/>
        <v>250</v>
      </c>
      <c r="D38" s="9">
        <f t="shared" ca="1" si="2"/>
        <v>50075</v>
      </c>
      <c r="E38" s="9">
        <f t="shared" ca="1" si="3"/>
        <v>50075</v>
      </c>
      <c r="F38" s="9">
        <f t="shared" ca="1" si="8"/>
        <v>48075</v>
      </c>
      <c r="G38" s="4">
        <f t="shared" ca="1" si="4"/>
        <v>0</v>
      </c>
      <c r="H38" s="8" t="str">
        <f t="shared" ca="1" si="5"/>
        <v/>
      </c>
      <c r="I38" s="14"/>
      <c r="J38" s="14"/>
      <c r="K38" s="14">
        <f t="shared" si="6"/>
        <v>52100</v>
      </c>
      <c r="L38" s="14">
        <f t="shared" si="7"/>
        <v>2000</v>
      </c>
      <c r="M38" s="14"/>
      <c r="N38" s="14"/>
      <c r="O38" s="14"/>
      <c r="P38" s="14"/>
      <c r="Q38" s="14"/>
      <c r="R38" s="14"/>
      <c r="S38" s="14"/>
      <c r="T38" s="14"/>
      <c r="U38" s="14"/>
    </row>
    <row r="39" spans="1:21">
      <c r="A39" s="4">
        <v>16</v>
      </c>
      <c r="B39" s="5">
        <f t="shared" ca="1" si="0"/>
        <v>0.61211398882845025</v>
      </c>
      <c r="C39" s="9">
        <f t="shared" ca="1" si="1"/>
        <v>25</v>
      </c>
      <c r="D39" s="9">
        <f t="shared" ca="1" si="2"/>
        <v>50100</v>
      </c>
      <c r="E39" s="9">
        <f t="shared" ca="1" si="3"/>
        <v>50100</v>
      </c>
      <c r="F39" s="9">
        <f t="shared" ca="1" si="8"/>
        <v>48100</v>
      </c>
      <c r="G39" s="4">
        <f t="shared" ca="1" si="4"/>
        <v>0</v>
      </c>
      <c r="H39" s="8" t="str">
        <f t="shared" ca="1" si="5"/>
        <v/>
      </c>
      <c r="I39" s="14"/>
      <c r="J39" s="14"/>
      <c r="K39" s="14">
        <f t="shared" si="6"/>
        <v>52100</v>
      </c>
      <c r="L39" s="14">
        <f t="shared" si="7"/>
        <v>2000</v>
      </c>
      <c r="M39" s="14"/>
      <c r="N39" s="14"/>
      <c r="O39" s="14"/>
      <c r="P39" s="14"/>
      <c r="Q39" s="14"/>
      <c r="R39" s="14"/>
      <c r="S39" s="14"/>
      <c r="T39" s="14"/>
      <c r="U39" s="14"/>
    </row>
    <row r="40" spans="1:21">
      <c r="A40" s="4">
        <v>17</v>
      </c>
      <c r="B40" s="5">
        <f t="shared" ca="1" si="0"/>
        <v>0.50534259529763237</v>
      </c>
      <c r="C40" s="9">
        <f t="shared" ca="1" si="1"/>
        <v>250</v>
      </c>
      <c r="D40" s="9">
        <f t="shared" ca="1" si="2"/>
        <v>50350</v>
      </c>
      <c r="E40" s="9">
        <f t="shared" ca="1" si="3"/>
        <v>50350</v>
      </c>
      <c r="F40" s="9">
        <f t="shared" ca="1" si="8"/>
        <v>48350</v>
      </c>
      <c r="G40" s="4">
        <f t="shared" ca="1" si="4"/>
        <v>0</v>
      </c>
      <c r="H40" s="8" t="str">
        <f t="shared" ca="1" si="5"/>
        <v/>
      </c>
      <c r="I40" s="14"/>
      <c r="J40" s="14"/>
      <c r="K40" s="14">
        <f t="shared" si="6"/>
        <v>52100</v>
      </c>
      <c r="L40" s="14">
        <f t="shared" si="7"/>
        <v>2000</v>
      </c>
      <c r="M40" s="14"/>
      <c r="N40" s="14"/>
      <c r="O40" s="14"/>
      <c r="P40" s="14"/>
      <c r="Q40" s="14"/>
      <c r="R40" s="14"/>
      <c r="S40" s="14"/>
      <c r="T40" s="14"/>
      <c r="U40" s="14"/>
    </row>
    <row r="41" spans="1:21">
      <c r="A41" s="4">
        <v>18</v>
      </c>
      <c r="B41" s="5">
        <f t="shared" ca="1" si="0"/>
        <v>0.36422836830394545</v>
      </c>
      <c r="C41" s="9">
        <f t="shared" ca="1" si="1"/>
        <v>250</v>
      </c>
      <c r="D41" s="9">
        <f t="shared" ca="1" si="2"/>
        <v>50600</v>
      </c>
      <c r="E41" s="9">
        <f t="shared" ca="1" si="3"/>
        <v>50600</v>
      </c>
      <c r="F41" s="9">
        <f t="shared" ca="1" si="8"/>
        <v>48600</v>
      </c>
      <c r="G41" s="4">
        <f t="shared" ca="1" si="4"/>
        <v>0</v>
      </c>
      <c r="H41" s="8" t="str">
        <f t="shared" ca="1" si="5"/>
        <v/>
      </c>
      <c r="I41" s="14"/>
      <c r="J41" s="14"/>
      <c r="K41" s="14">
        <f t="shared" si="6"/>
        <v>52100</v>
      </c>
      <c r="L41" s="14">
        <f t="shared" si="7"/>
        <v>2000</v>
      </c>
      <c r="M41" s="14"/>
      <c r="N41" s="14"/>
      <c r="O41" s="14"/>
      <c r="P41" s="14"/>
      <c r="Q41" s="14"/>
      <c r="R41" s="14"/>
      <c r="S41" s="14"/>
      <c r="T41" s="14"/>
      <c r="U41" s="14"/>
    </row>
    <row r="42" spans="1:21">
      <c r="A42" s="4">
        <v>19</v>
      </c>
      <c r="B42" s="5">
        <f t="shared" ca="1" si="0"/>
        <v>0.91389757711887509</v>
      </c>
      <c r="C42" s="9">
        <f t="shared" ca="1" si="1"/>
        <v>-250</v>
      </c>
      <c r="D42" s="9">
        <f t="shared" ca="1" si="2"/>
        <v>50350</v>
      </c>
      <c r="E42" s="9">
        <f t="shared" ca="1" si="3"/>
        <v>50600</v>
      </c>
      <c r="F42" s="9">
        <f t="shared" ca="1" si="8"/>
        <v>48600</v>
      </c>
      <c r="G42" s="4">
        <f t="shared" ca="1" si="4"/>
        <v>0</v>
      </c>
      <c r="H42" s="8" t="str">
        <f t="shared" ca="1" si="5"/>
        <v/>
      </c>
      <c r="I42" s="14"/>
      <c r="J42" s="14"/>
      <c r="K42" s="14">
        <f t="shared" si="6"/>
        <v>52100</v>
      </c>
      <c r="L42" s="14">
        <f t="shared" si="7"/>
        <v>2000</v>
      </c>
      <c r="M42" s="14"/>
      <c r="N42" s="14"/>
      <c r="O42" s="14"/>
      <c r="P42" s="14"/>
      <c r="Q42" s="14"/>
      <c r="R42" s="14"/>
      <c r="S42" s="14"/>
      <c r="T42" s="14"/>
      <c r="U42" s="14"/>
    </row>
    <row r="43" spans="1:21">
      <c r="A43" s="4">
        <v>20</v>
      </c>
      <c r="B43" s="5">
        <f t="shared" ca="1" si="0"/>
        <v>0.32575733215262281</v>
      </c>
      <c r="C43" s="9">
        <f t="shared" ca="1" si="1"/>
        <v>250</v>
      </c>
      <c r="D43" s="9">
        <f t="shared" ca="1" si="2"/>
        <v>50600</v>
      </c>
      <c r="E43" s="9">
        <f t="shared" ca="1" si="3"/>
        <v>50600</v>
      </c>
      <c r="F43" s="9">
        <f t="shared" ca="1" si="8"/>
        <v>48600</v>
      </c>
      <c r="G43" s="4">
        <f t="shared" ca="1" si="4"/>
        <v>0</v>
      </c>
      <c r="H43" s="8" t="str">
        <f t="shared" ca="1" si="5"/>
        <v/>
      </c>
      <c r="I43" s="14"/>
      <c r="J43" s="14"/>
      <c r="K43" s="14">
        <f t="shared" si="6"/>
        <v>52100</v>
      </c>
      <c r="L43" s="14">
        <f t="shared" si="7"/>
        <v>2000</v>
      </c>
      <c r="M43" s="14"/>
      <c r="N43" s="14"/>
      <c r="O43" s="14"/>
      <c r="P43" s="14"/>
      <c r="Q43" s="14"/>
      <c r="R43" s="14"/>
      <c r="S43" s="14"/>
      <c r="T43" s="14"/>
      <c r="U43" s="14"/>
    </row>
    <row r="44" spans="1:21">
      <c r="A44" s="4">
        <v>21</v>
      </c>
      <c r="B44" s="5">
        <f t="shared" ca="1" si="0"/>
        <v>0.17801921430304213</v>
      </c>
      <c r="C44" s="9">
        <f t="shared" ca="1" si="1"/>
        <v>250</v>
      </c>
      <c r="D44" s="9">
        <f t="shared" ca="1" si="2"/>
        <v>50850</v>
      </c>
      <c r="E44" s="9">
        <f t="shared" ca="1" si="3"/>
        <v>50850</v>
      </c>
      <c r="F44" s="9">
        <f t="shared" ca="1" si="8"/>
        <v>48850</v>
      </c>
      <c r="G44" s="4">
        <f t="shared" ca="1" si="4"/>
        <v>0</v>
      </c>
      <c r="H44" s="8" t="str">
        <f t="shared" ca="1" si="5"/>
        <v/>
      </c>
      <c r="I44" s="14"/>
      <c r="J44" s="14"/>
      <c r="K44" s="14">
        <f t="shared" si="6"/>
        <v>52100</v>
      </c>
      <c r="L44" s="14">
        <f t="shared" si="7"/>
        <v>2000</v>
      </c>
      <c r="M44" s="14"/>
      <c r="N44" s="14"/>
      <c r="O44" s="14"/>
      <c r="P44" s="14"/>
      <c r="Q44" s="14"/>
      <c r="R44" s="14"/>
      <c r="S44" s="14"/>
      <c r="T44" s="14"/>
      <c r="U44" s="14"/>
    </row>
    <row r="45" spans="1:21">
      <c r="A45" s="4">
        <v>22</v>
      </c>
      <c r="B45" s="5">
        <f t="shared" ca="1" si="0"/>
        <v>0.85151133804882384</v>
      </c>
      <c r="C45" s="9">
        <f t="shared" ca="1" si="1"/>
        <v>-250</v>
      </c>
      <c r="D45" s="9">
        <f t="shared" ca="1" si="2"/>
        <v>50600</v>
      </c>
      <c r="E45" s="9">
        <f t="shared" ca="1" si="3"/>
        <v>50850</v>
      </c>
      <c r="F45" s="9">
        <f t="shared" ca="1" si="8"/>
        <v>48850</v>
      </c>
      <c r="G45" s="4">
        <f t="shared" ca="1" si="4"/>
        <v>0</v>
      </c>
      <c r="H45" s="8" t="str">
        <f t="shared" ca="1" si="5"/>
        <v/>
      </c>
      <c r="I45" s="14"/>
      <c r="J45" s="14"/>
      <c r="K45" s="14">
        <f t="shared" si="6"/>
        <v>52100</v>
      </c>
      <c r="L45" s="14">
        <f t="shared" si="7"/>
        <v>2000</v>
      </c>
      <c r="M45" s="14"/>
      <c r="N45" s="14"/>
      <c r="O45" s="14"/>
      <c r="P45" s="14"/>
      <c r="Q45" s="14"/>
      <c r="R45" s="14"/>
      <c r="S45" s="14"/>
      <c r="T45" s="14"/>
      <c r="U45" s="14"/>
    </row>
    <row r="46" spans="1:21">
      <c r="A46" s="4">
        <v>23</v>
      </c>
      <c r="B46" s="5">
        <f t="shared" ca="1" si="0"/>
        <v>0.57975112435568688</v>
      </c>
      <c r="C46" s="9">
        <f t="shared" ca="1" si="1"/>
        <v>25</v>
      </c>
      <c r="D46" s="9">
        <f t="shared" ca="1" si="2"/>
        <v>50625</v>
      </c>
      <c r="E46" s="9">
        <f t="shared" ca="1" si="3"/>
        <v>50850</v>
      </c>
      <c r="F46" s="9">
        <f t="shared" ca="1" si="8"/>
        <v>48850</v>
      </c>
      <c r="G46" s="4">
        <f t="shared" ca="1" si="4"/>
        <v>0</v>
      </c>
      <c r="H46" s="8" t="str">
        <f t="shared" ca="1" si="5"/>
        <v/>
      </c>
      <c r="I46" s="14"/>
      <c r="J46" s="14"/>
      <c r="K46" s="14">
        <f t="shared" si="6"/>
        <v>52100</v>
      </c>
      <c r="L46" s="14">
        <f t="shared" si="7"/>
        <v>2000</v>
      </c>
      <c r="M46" s="14"/>
      <c r="N46" s="14"/>
      <c r="O46" s="14"/>
      <c r="P46" s="14"/>
      <c r="Q46" s="14"/>
      <c r="R46" s="14"/>
      <c r="S46" s="14"/>
      <c r="T46" s="14"/>
      <c r="U46" s="14"/>
    </row>
    <row r="47" spans="1:21">
      <c r="A47" s="4">
        <v>24</v>
      </c>
      <c r="B47" s="5">
        <f t="shared" ca="1" si="0"/>
        <v>0.82552117511934209</v>
      </c>
      <c r="C47" s="9">
        <f t="shared" ca="1" si="1"/>
        <v>-250</v>
      </c>
      <c r="D47" s="9">
        <f t="shared" ca="1" si="2"/>
        <v>50375</v>
      </c>
      <c r="E47" s="9">
        <f t="shared" ca="1" si="3"/>
        <v>50850</v>
      </c>
      <c r="F47" s="9">
        <f t="shared" ca="1" si="8"/>
        <v>48850</v>
      </c>
      <c r="G47" s="4">
        <f t="shared" ca="1" si="4"/>
        <v>0</v>
      </c>
      <c r="H47" s="8" t="str">
        <f t="shared" ca="1" si="5"/>
        <v/>
      </c>
      <c r="I47" s="14"/>
      <c r="J47" s="14"/>
      <c r="K47" s="14">
        <f t="shared" si="6"/>
        <v>52100</v>
      </c>
      <c r="L47" s="14">
        <f t="shared" si="7"/>
        <v>2000</v>
      </c>
      <c r="M47" s="14"/>
      <c r="N47" s="14"/>
      <c r="O47" s="14"/>
      <c r="P47" s="14"/>
      <c r="Q47" s="14"/>
      <c r="R47" s="14"/>
      <c r="S47" s="14"/>
      <c r="T47" s="14"/>
      <c r="U47" s="14"/>
    </row>
    <row r="48" spans="1:21">
      <c r="A48" s="4">
        <v>25</v>
      </c>
      <c r="B48" s="5">
        <f t="shared" ca="1" si="0"/>
        <v>0.66855447201511431</v>
      </c>
      <c r="C48" s="9">
        <f t="shared" ca="1" si="1"/>
        <v>-250</v>
      </c>
      <c r="D48" s="9">
        <f t="shared" ca="1" si="2"/>
        <v>50125</v>
      </c>
      <c r="E48" s="9">
        <f t="shared" ca="1" si="3"/>
        <v>50850</v>
      </c>
      <c r="F48" s="9">
        <f t="shared" ca="1" si="8"/>
        <v>48850</v>
      </c>
      <c r="G48" s="4">
        <f t="shared" ca="1" si="4"/>
        <v>0</v>
      </c>
      <c r="H48" s="8" t="str">
        <f t="shared" ca="1" si="5"/>
        <v/>
      </c>
      <c r="I48" s="14"/>
      <c r="J48" s="14"/>
      <c r="K48" s="14">
        <f t="shared" si="6"/>
        <v>52100</v>
      </c>
      <c r="L48" s="14">
        <f t="shared" si="7"/>
        <v>2000</v>
      </c>
      <c r="M48" s="14"/>
      <c r="N48" s="14"/>
      <c r="O48" s="14"/>
      <c r="P48" s="14"/>
      <c r="Q48" s="14"/>
      <c r="R48" s="14"/>
      <c r="S48" s="14"/>
      <c r="T48" s="14"/>
      <c r="U48" s="14"/>
    </row>
    <row r="49" spans="1:21">
      <c r="A49" s="4">
        <v>26</v>
      </c>
      <c r="B49" s="5">
        <f t="shared" ca="1" si="0"/>
        <v>0.65373976893098318</v>
      </c>
      <c r="C49" s="9">
        <f t="shared" ca="1" si="1"/>
        <v>-250</v>
      </c>
      <c r="D49" s="9">
        <f t="shared" ca="1" si="2"/>
        <v>49875</v>
      </c>
      <c r="E49" s="9">
        <f t="shared" ca="1" si="3"/>
        <v>50850</v>
      </c>
      <c r="F49" s="9">
        <f t="shared" ca="1" si="8"/>
        <v>48850</v>
      </c>
      <c r="G49" s="4">
        <f t="shared" ca="1" si="4"/>
        <v>0</v>
      </c>
      <c r="H49" s="8" t="str">
        <f t="shared" ca="1" si="5"/>
        <v/>
      </c>
      <c r="I49" s="14"/>
      <c r="J49" s="14"/>
      <c r="K49" s="14">
        <f t="shared" si="6"/>
        <v>52100</v>
      </c>
      <c r="L49" s="14">
        <f>L48</f>
        <v>2000</v>
      </c>
      <c r="M49" s="14"/>
      <c r="N49" s="14"/>
      <c r="O49" s="14"/>
      <c r="P49" s="14"/>
      <c r="Q49" s="14"/>
      <c r="R49" s="14"/>
      <c r="S49" s="14"/>
      <c r="T49" s="14"/>
      <c r="U49" s="14"/>
    </row>
    <row r="50" spans="1:21">
      <c r="A50" s="4">
        <v>27</v>
      </c>
      <c r="B50" s="5">
        <f t="shared" ca="1" si="0"/>
        <v>0.8893041891173713</v>
      </c>
      <c r="C50" s="9">
        <f t="shared" ca="1" si="1"/>
        <v>-250</v>
      </c>
      <c r="D50" s="9">
        <f t="shared" ca="1" si="2"/>
        <v>49625</v>
      </c>
      <c r="E50" s="9">
        <f t="shared" ca="1" si="3"/>
        <v>50850</v>
      </c>
      <c r="F50" s="9">
        <f t="shared" ca="1" si="8"/>
        <v>48850</v>
      </c>
      <c r="G50" s="4">
        <f t="shared" ca="1" si="4"/>
        <v>0</v>
      </c>
      <c r="H50" s="8" t="str">
        <f t="shared" ca="1" si="5"/>
        <v/>
      </c>
      <c r="I50" s="14"/>
      <c r="J50" s="14"/>
      <c r="K50" s="14">
        <f t="shared" si="6"/>
        <v>52100</v>
      </c>
      <c r="L50" s="14">
        <f t="shared" si="7"/>
        <v>2000</v>
      </c>
      <c r="M50" s="14"/>
      <c r="N50" s="14"/>
      <c r="O50" s="14"/>
      <c r="P50" s="14"/>
      <c r="Q50" s="14"/>
      <c r="R50" s="14"/>
      <c r="S50" s="14"/>
      <c r="T50" s="14"/>
      <c r="U50" s="14"/>
    </row>
    <row r="51" spans="1:21">
      <c r="A51" s="4">
        <v>28</v>
      </c>
      <c r="B51" s="5">
        <f t="shared" ca="1" si="0"/>
        <v>0.18282932663339901</v>
      </c>
      <c r="C51" s="9">
        <f t="shared" ca="1" si="1"/>
        <v>250</v>
      </c>
      <c r="D51" s="9">
        <f t="shared" ca="1" si="2"/>
        <v>49875</v>
      </c>
      <c r="E51" s="9">
        <f t="shared" ca="1" si="3"/>
        <v>50850</v>
      </c>
      <c r="F51" s="9">
        <f t="shared" ca="1" si="8"/>
        <v>48850</v>
      </c>
      <c r="G51" s="4">
        <f t="shared" ca="1" si="4"/>
        <v>0</v>
      </c>
      <c r="H51" s="8" t="str">
        <f t="shared" ca="1" si="5"/>
        <v/>
      </c>
      <c r="I51" s="14"/>
      <c r="J51" s="14"/>
      <c r="K51" s="14">
        <f t="shared" si="6"/>
        <v>52100</v>
      </c>
      <c r="L51" s="14">
        <f t="shared" si="7"/>
        <v>2000</v>
      </c>
      <c r="M51" s="14"/>
      <c r="N51" s="14"/>
      <c r="O51" s="14"/>
      <c r="P51" s="14"/>
      <c r="Q51" s="14"/>
      <c r="R51" s="14"/>
      <c r="S51" s="14"/>
      <c r="T51" s="14"/>
      <c r="U51" s="14"/>
    </row>
    <row r="52" spans="1:21">
      <c r="A52" s="4">
        <v>29</v>
      </c>
      <c r="B52" s="5">
        <f t="shared" ca="1" si="0"/>
        <v>0.28758345181018063</v>
      </c>
      <c r="C52" s="9">
        <f t="shared" ca="1" si="1"/>
        <v>250</v>
      </c>
      <c r="D52" s="9">
        <f t="shared" ca="1" si="2"/>
        <v>50125</v>
      </c>
      <c r="E52" s="9">
        <f t="shared" ca="1" si="3"/>
        <v>50850</v>
      </c>
      <c r="F52" s="9">
        <f t="shared" ca="1" si="8"/>
        <v>48850</v>
      </c>
      <c r="G52" s="4">
        <f t="shared" ca="1" si="4"/>
        <v>0</v>
      </c>
      <c r="H52" s="8" t="str">
        <f t="shared" ca="1" si="5"/>
        <v/>
      </c>
      <c r="I52" s="14"/>
      <c r="J52" s="14"/>
      <c r="K52" s="14">
        <f t="shared" si="6"/>
        <v>52100</v>
      </c>
      <c r="L52" s="14">
        <f t="shared" si="7"/>
        <v>2000</v>
      </c>
      <c r="M52" s="14"/>
      <c r="N52" s="14"/>
      <c r="O52" s="14"/>
      <c r="P52" s="14"/>
      <c r="Q52" s="14"/>
      <c r="R52" s="14"/>
      <c r="S52" s="14"/>
      <c r="T52" s="14"/>
      <c r="U52" s="14"/>
    </row>
    <row r="53" spans="1:21">
      <c r="A53" s="4">
        <v>30</v>
      </c>
      <c r="B53" s="5">
        <f t="shared" ca="1" si="0"/>
        <v>0.67322229716752113</v>
      </c>
      <c r="C53" s="9">
        <f t="shared" ca="1" si="1"/>
        <v>-250</v>
      </c>
      <c r="D53" s="9">
        <f t="shared" ca="1" si="2"/>
        <v>49875</v>
      </c>
      <c r="E53" s="9">
        <f t="shared" ca="1" si="3"/>
        <v>50850</v>
      </c>
      <c r="F53" s="9">
        <f t="shared" ca="1" si="8"/>
        <v>48850</v>
      </c>
      <c r="G53" s="4">
        <f t="shared" ca="1" si="4"/>
        <v>0</v>
      </c>
      <c r="H53" s="8" t="str">
        <f t="shared" ca="1" si="5"/>
        <v/>
      </c>
      <c r="I53" s="14"/>
      <c r="J53" s="14"/>
      <c r="K53" s="14">
        <f t="shared" si="6"/>
        <v>52100</v>
      </c>
      <c r="L53" s="14">
        <f t="shared" si="7"/>
        <v>2000</v>
      </c>
      <c r="M53" s="14"/>
      <c r="N53" s="14"/>
      <c r="O53" s="14"/>
      <c r="P53" s="14"/>
      <c r="Q53" s="14"/>
      <c r="R53" s="14"/>
      <c r="S53" s="14"/>
      <c r="T53" s="14"/>
      <c r="U53" s="14"/>
    </row>
    <row r="54" spans="1:21">
      <c r="A54" s="4">
        <v>31</v>
      </c>
      <c r="B54" s="5">
        <f t="shared" ca="1" si="0"/>
        <v>0.28448529974759074</v>
      </c>
      <c r="C54" s="9">
        <f t="shared" ca="1" si="1"/>
        <v>250</v>
      </c>
      <c r="D54" s="9">
        <f t="shared" ca="1" si="2"/>
        <v>50125</v>
      </c>
      <c r="E54" s="9">
        <f t="shared" ca="1" si="3"/>
        <v>50850</v>
      </c>
      <c r="F54" s="9">
        <f t="shared" ca="1" si="8"/>
        <v>48850</v>
      </c>
      <c r="G54" s="4">
        <f t="shared" ca="1" si="4"/>
        <v>0</v>
      </c>
      <c r="H54" s="8" t="str">
        <f t="shared" ca="1" si="5"/>
        <v/>
      </c>
      <c r="I54" s="14"/>
      <c r="J54" s="14"/>
      <c r="K54" s="14">
        <f t="shared" si="6"/>
        <v>52100</v>
      </c>
      <c r="L54" s="14">
        <f t="shared" si="7"/>
        <v>2000</v>
      </c>
      <c r="M54" s="14"/>
      <c r="N54" s="14"/>
      <c r="O54" s="14"/>
      <c r="P54" s="14"/>
      <c r="Q54" s="14"/>
      <c r="R54" s="14"/>
      <c r="S54" s="14"/>
      <c r="T54" s="14"/>
      <c r="U54" s="14"/>
    </row>
    <row r="55" spans="1:21">
      <c r="A55" s="4">
        <v>32</v>
      </c>
      <c r="B55" s="5">
        <f t="shared" ca="1" si="0"/>
        <v>0.55389321811966208</v>
      </c>
      <c r="C55" s="9">
        <f t="shared" ca="1" si="1"/>
        <v>25</v>
      </c>
      <c r="D55" s="9">
        <f t="shared" ca="1" si="2"/>
        <v>50150</v>
      </c>
      <c r="E55" s="9">
        <f t="shared" ca="1" si="3"/>
        <v>50850</v>
      </c>
      <c r="F55" s="9">
        <f t="shared" ca="1" si="8"/>
        <v>48850</v>
      </c>
      <c r="G55" s="4">
        <f t="shared" ca="1" si="4"/>
        <v>0</v>
      </c>
      <c r="H55" s="8" t="str">
        <f t="shared" ca="1" si="5"/>
        <v/>
      </c>
      <c r="I55" s="14"/>
      <c r="J55" s="14"/>
      <c r="K55" s="14">
        <f t="shared" si="6"/>
        <v>52100</v>
      </c>
      <c r="L55" s="14">
        <f t="shared" si="7"/>
        <v>2000</v>
      </c>
      <c r="M55" s="14"/>
      <c r="N55" s="14"/>
      <c r="O55" s="14"/>
      <c r="P55" s="14"/>
      <c r="Q55" s="14"/>
      <c r="R55" s="14"/>
      <c r="S55" s="14"/>
      <c r="T55" s="14"/>
      <c r="U55" s="14"/>
    </row>
    <row r="56" spans="1:21">
      <c r="A56" s="4">
        <v>33</v>
      </c>
      <c r="B56" s="5">
        <f t="shared" ref="B56:B87" ca="1" si="9">RAND()</f>
        <v>0.55053599147660537</v>
      </c>
      <c r="C56" s="9">
        <f t="shared" ref="C56:C87" ca="1" si="10">IF($B$12=0, IF(B56&lt;$B$11/100, $B$15*$B$16, -$B$15), IF(B56&lt;$B$11/100, $B$15*$B$16, IF(B56&lt;$B$11/100+$B$12/100, $B$15*$B$17, -$B$15)))</f>
        <v>25</v>
      </c>
      <c r="D56" s="9">
        <f t="shared" ca="1" si="2"/>
        <v>50175</v>
      </c>
      <c r="E56" s="9">
        <f t="shared" ca="1" si="3"/>
        <v>50850</v>
      </c>
      <c r="F56" s="9">
        <f t="shared" ca="1" si="8"/>
        <v>48850</v>
      </c>
      <c r="G56" s="4">
        <f t="shared" ca="1" si="4"/>
        <v>0</v>
      </c>
      <c r="H56" s="8" t="str">
        <f t="shared" ca="1" si="5"/>
        <v/>
      </c>
      <c r="I56" s="14"/>
      <c r="J56" s="14"/>
      <c r="K56" s="14">
        <f t="shared" si="6"/>
        <v>52100</v>
      </c>
      <c r="L56" s="14">
        <f t="shared" si="7"/>
        <v>2000</v>
      </c>
      <c r="M56" s="14"/>
      <c r="N56" s="14"/>
      <c r="O56" s="14"/>
      <c r="P56" s="14"/>
      <c r="Q56" s="14"/>
      <c r="R56" s="14"/>
      <c r="S56" s="14"/>
      <c r="T56" s="14"/>
      <c r="U56" s="14"/>
    </row>
    <row r="57" spans="1:21">
      <c r="A57" s="4">
        <v>34</v>
      </c>
      <c r="B57" s="5">
        <f t="shared" ca="1" si="9"/>
        <v>0.28719226332807501</v>
      </c>
      <c r="C57" s="9">
        <f t="shared" ca="1" si="10"/>
        <v>250</v>
      </c>
      <c r="D57" s="9">
        <f t="shared" ref="D57:D88" ca="1" si="11">IF(G56=1,$B$14,D56+C57)</f>
        <v>50425</v>
      </c>
      <c r="E57" s="9">
        <f t="shared" ref="E57:E88" ca="1" si="12">IF(G56=1,$B$14,MAX(E56,D57))</f>
        <v>50850</v>
      </c>
      <c r="F57" s="9">
        <f t="shared" ca="1" si="8"/>
        <v>48850</v>
      </c>
      <c r="G57" s="4">
        <f t="shared" ref="G57:G88" ca="1" si="13">IF(G56=1,0,IF(D57&lt;=F57,1,0))</f>
        <v>0</v>
      </c>
      <c r="H57" s="8" t="str">
        <f t="shared" ref="H57:H88" ca="1" si="14">IF(AND(G57=1,G56=0),1,"")</f>
        <v/>
      </c>
      <c r="I57" s="14"/>
      <c r="J57" s="14"/>
      <c r="K57" s="14">
        <f t="shared" si="6"/>
        <v>52100</v>
      </c>
      <c r="L57" s="14">
        <f t="shared" si="7"/>
        <v>2000</v>
      </c>
      <c r="M57" s="14"/>
      <c r="N57" s="14"/>
      <c r="O57" s="14"/>
      <c r="P57" s="14"/>
      <c r="Q57" s="14"/>
      <c r="R57" s="14"/>
      <c r="S57" s="14"/>
      <c r="T57" s="14"/>
      <c r="U57" s="14"/>
    </row>
    <row r="58" spans="1:21">
      <c r="A58" s="4">
        <v>35</v>
      </c>
      <c r="B58" s="5">
        <f t="shared" ca="1" si="9"/>
        <v>0.85304672976523266</v>
      </c>
      <c r="C58" s="9">
        <f t="shared" ca="1" si="10"/>
        <v>-250</v>
      </c>
      <c r="D58" s="9">
        <f t="shared" ca="1" si="11"/>
        <v>50175</v>
      </c>
      <c r="E58" s="9">
        <f t="shared" ca="1" si="12"/>
        <v>50850</v>
      </c>
      <c r="F58" s="9">
        <f t="shared" ca="1" si="8"/>
        <v>48850</v>
      </c>
      <c r="G58" s="4">
        <f t="shared" ca="1" si="13"/>
        <v>0</v>
      </c>
      <c r="H58" s="8" t="str">
        <f t="shared" ca="1" si="14"/>
        <v/>
      </c>
      <c r="I58" s="14"/>
      <c r="J58" s="14"/>
      <c r="K58" s="14">
        <f t="shared" si="6"/>
        <v>52100</v>
      </c>
      <c r="L58" s="14">
        <f t="shared" si="7"/>
        <v>2000</v>
      </c>
      <c r="M58" s="14"/>
      <c r="N58" s="14"/>
      <c r="O58" s="14"/>
      <c r="P58" s="14"/>
      <c r="Q58" s="14"/>
      <c r="R58" s="14"/>
      <c r="S58" s="14"/>
      <c r="T58" s="14"/>
      <c r="U58" s="14"/>
    </row>
    <row r="59" spans="1:21">
      <c r="A59" s="4">
        <v>36</v>
      </c>
      <c r="B59" s="5">
        <f t="shared" ca="1" si="9"/>
        <v>0.70588743430046597</v>
      </c>
      <c r="C59" s="9">
        <f t="shared" ca="1" si="10"/>
        <v>-250</v>
      </c>
      <c r="D59" s="9">
        <f t="shared" ca="1" si="11"/>
        <v>49925</v>
      </c>
      <c r="E59" s="9">
        <f t="shared" ca="1" si="12"/>
        <v>50850</v>
      </c>
      <c r="F59" s="9">
        <f t="shared" ca="1" si="8"/>
        <v>48850</v>
      </c>
      <c r="G59" s="4">
        <f t="shared" ca="1" si="13"/>
        <v>0</v>
      </c>
      <c r="H59" s="8" t="str">
        <f t="shared" ca="1" si="14"/>
        <v/>
      </c>
      <c r="I59" s="14"/>
      <c r="J59" s="14"/>
      <c r="K59" s="14">
        <f t="shared" si="6"/>
        <v>52100</v>
      </c>
      <c r="L59" s="14">
        <f t="shared" si="7"/>
        <v>2000</v>
      </c>
      <c r="M59" s="14"/>
      <c r="N59" s="14"/>
      <c r="O59" s="14"/>
      <c r="P59" s="14"/>
      <c r="Q59" s="14"/>
      <c r="R59" s="14"/>
      <c r="S59" s="14"/>
      <c r="T59" s="14"/>
      <c r="U59" s="14"/>
    </row>
    <row r="60" spans="1:21">
      <c r="A60" s="4">
        <v>37</v>
      </c>
      <c r="B60" s="5">
        <f t="shared" ca="1" si="9"/>
        <v>0.43667351303252799</v>
      </c>
      <c r="C60" s="9">
        <f t="shared" ca="1" si="10"/>
        <v>250</v>
      </c>
      <c r="D60" s="9">
        <f t="shared" ca="1" si="11"/>
        <v>50175</v>
      </c>
      <c r="E60" s="9">
        <f t="shared" ca="1" si="12"/>
        <v>50850</v>
      </c>
      <c r="F60" s="9">
        <f t="shared" ca="1" si="8"/>
        <v>48850</v>
      </c>
      <c r="G60" s="4">
        <f t="shared" ca="1" si="13"/>
        <v>0</v>
      </c>
      <c r="H60" s="8" t="str">
        <f t="shared" ca="1" si="14"/>
        <v/>
      </c>
      <c r="I60" s="14"/>
      <c r="J60" s="14"/>
      <c r="K60" s="14">
        <f t="shared" si="6"/>
        <v>52100</v>
      </c>
      <c r="L60" s="14">
        <f t="shared" si="7"/>
        <v>2000</v>
      </c>
      <c r="M60" s="14"/>
      <c r="N60" s="14"/>
      <c r="O60" s="14"/>
      <c r="P60" s="14"/>
      <c r="Q60" s="14"/>
      <c r="R60" s="14"/>
      <c r="S60" s="14"/>
      <c r="T60" s="14"/>
      <c r="U60" s="14"/>
    </row>
    <row r="61" spans="1:21">
      <c r="A61" s="4">
        <v>38</v>
      </c>
      <c r="B61" s="5">
        <f t="shared" ca="1" si="9"/>
        <v>0.63612431282199233</v>
      </c>
      <c r="C61" s="9">
        <f t="shared" ca="1" si="10"/>
        <v>25</v>
      </c>
      <c r="D61" s="9">
        <f t="shared" ca="1" si="11"/>
        <v>50200</v>
      </c>
      <c r="E61" s="9">
        <f t="shared" ca="1" si="12"/>
        <v>50850</v>
      </c>
      <c r="F61" s="9">
        <f t="shared" ca="1" si="8"/>
        <v>48850</v>
      </c>
      <c r="G61" s="4">
        <f t="shared" ca="1" si="13"/>
        <v>0</v>
      </c>
      <c r="H61" s="8" t="str">
        <f t="shared" ca="1" si="14"/>
        <v/>
      </c>
      <c r="I61" s="14"/>
      <c r="J61" s="14"/>
      <c r="K61" s="14">
        <f t="shared" si="6"/>
        <v>52100</v>
      </c>
      <c r="L61" s="14">
        <f t="shared" si="7"/>
        <v>2000</v>
      </c>
      <c r="M61" s="14"/>
      <c r="N61" s="14"/>
      <c r="O61" s="14"/>
      <c r="P61" s="14"/>
      <c r="Q61" s="14"/>
      <c r="R61" s="14"/>
      <c r="S61" s="14"/>
      <c r="T61" s="14"/>
      <c r="U61" s="14"/>
    </row>
    <row r="62" spans="1:21">
      <c r="A62" s="4">
        <v>39</v>
      </c>
      <c r="B62" s="5">
        <f t="shared" ca="1" si="9"/>
        <v>7.0274282699445134E-2</v>
      </c>
      <c r="C62" s="9">
        <f t="shared" ca="1" si="10"/>
        <v>250</v>
      </c>
      <c r="D62" s="9">
        <f t="shared" ca="1" si="11"/>
        <v>50450</v>
      </c>
      <c r="E62" s="9">
        <f t="shared" ca="1" si="12"/>
        <v>50850</v>
      </c>
      <c r="F62" s="9">
        <f t="shared" ca="1" si="8"/>
        <v>48850</v>
      </c>
      <c r="G62" s="4">
        <f t="shared" ca="1" si="13"/>
        <v>0</v>
      </c>
      <c r="H62" s="8" t="str">
        <f t="shared" ca="1" si="14"/>
        <v/>
      </c>
      <c r="I62" s="14"/>
      <c r="J62" s="14"/>
      <c r="K62" s="14">
        <f t="shared" si="6"/>
        <v>52100</v>
      </c>
      <c r="L62" s="14">
        <f>L61</f>
        <v>2000</v>
      </c>
      <c r="M62" s="14"/>
      <c r="N62" s="14"/>
      <c r="O62" s="14"/>
      <c r="P62" s="14"/>
      <c r="Q62" s="14"/>
      <c r="R62" s="14"/>
      <c r="S62" s="14"/>
      <c r="T62" s="14"/>
      <c r="U62" s="14"/>
    </row>
    <row r="63" spans="1:21">
      <c r="A63" s="4">
        <v>40</v>
      </c>
      <c r="B63" s="5">
        <f t="shared" ca="1" si="9"/>
        <v>0.12337091306536463</v>
      </c>
      <c r="C63" s="9">
        <f t="shared" ca="1" si="10"/>
        <v>250</v>
      </c>
      <c r="D63" s="9">
        <f t="shared" ca="1" si="11"/>
        <v>50700</v>
      </c>
      <c r="E63" s="9">
        <f t="shared" ca="1" si="12"/>
        <v>50850</v>
      </c>
      <c r="F63" s="9">
        <f t="shared" ca="1" si="8"/>
        <v>48850</v>
      </c>
      <c r="G63" s="4">
        <f t="shared" ca="1" si="13"/>
        <v>0</v>
      </c>
      <c r="H63" s="8" t="str">
        <f t="shared" ca="1" si="14"/>
        <v/>
      </c>
      <c r="I63" s="14"/>
      <c r="J63" s="14"/>
      <c r="K63" s="14">
        <f t="shared" si="6"/>
        <v>52100</v>
      </c>
      <c r="L63" s="14">
        <f t="shared" si="7"/>
        <v>2000</v>
      </c>
      <c r="M63" s="14"/>
      <c r="N63" s="14"/>
      <c r="O63" s="14"/>
      <c r="P63" s="14"/>
      <c r="Q63" s="14"/>
      <c r="R63" s="14"/>
      <c r="S63" s="14"/>
      <c r="T63" s="14"/>
      <c r="U63" s="14"/>
    </row>
    <row r="64" spans="1:21">
      <c r="A64" s="4">
        <v>41</v>
      </c>
      <c r="B64" s="5">
        <f t="shared" ca="1" si="9"/>
        <v>2.8528345640671748E-2</v>
      </c>
      <c r="C64" s="9">
        <f t="shared" ca="1" si="10"/>
        <v>250</v>
      </c>
      <c r="D64" s="9">
        <f t="shared" ca="1" si="11"/>
        <v>50950</v>
      </c>
      <c r="E64" s="9">
        <f t="shared" ca="1" si="12"/>
        <v>50950</v>
      </c>
      <c r="F64" s="9">
        <f t="shared" ca="1" si="8"/>
        <v>48950</v>
      </c>
      <c r="G64" s="4">
        <f t="shared" ca="1" si="13"/>
        <v>0</v>
      </c>
      <c r="H64" s="8" t="str">
        <f t="shared" ca="1" si="14"/>
        <v/>
      </c>
      <c r="I64" s="14"/>
      <c r="J64" s="14"/>
      <c r="K64" s="14">
        <f t="shared" si="6"/>
        <v>52100</v>
      </c>
      <c r="L64" s="14">
        <f t="shared" si="7"/>
        <v>2000</v>
      </c>
      <c r="M64" s="14"/>
      <c r="N64" s="14"/>
      <c r="O64" s="14"/>
      <c r="P64" s="14"/>
      <c r="Q64" s="14"/>
      <c r="R64" s="14"/>
      <c r="S64" s="14"/>
      <c r="T64" s="14"/>
      <c r="U64" s="14"/>
    </row>
    <row r="65" spans="1:21">
      <c r="A65" s="4">
        <v>42</v>
      </c>
      <c r="B65" s="5">
        <f t="shared" ca="1" si="9"/>
        <v>0.2507462081974241</v>
      </c>
      <c r="C65" s="9">
        <f t="shared" ca="1" si="10"/>
        <v>250</v>
      </c>
      <c r="D65" s="9">
        <f t="shared" ca="1" si="11"/>
        <v>51200</v>
      </c>
      <c r="E65" s="9">
        <f t="shared" ca="1" si="12"/>
        <v>51200</v>
      </c>
      <c r="F65" s="9">
        <f t="shared" ca="1" si="8"/>
        <v>49200</v>
      </c>
      <c r="G65" s="4">
        <f t="shared" ca="1" si="13"/>
        <v>0</v>
      </c>
      <c r="H65" s="8" t="str">
        <f t="shared" ca="1" si="14"/>
        <v/>
      </c>
      <c r="I65" s="14"/>
      <c r="J65" s="14"/>
      <c r="K65" s="14">
        <f t="shared" si="6"/>
        <v>52100</v>
      </c>
      <c r="L65" s="14">
        <f t="shared" si="7"/>
        <v>2000</v>
      </c>
      <c r="M65" s="14"/>
      <c r="N65" s="14"/>
      <c r="O65" s="14"/>
      <c r="P65" s="14"/>
      <c r="Q65" s="14"/>
      <c r="R65" s="14"/>
      <c r="S65" s="14"/>
      <c r="T65" s="14"/>
      <c r="U65" s="14"/>
    </row>
    <row r="66" spans="1:21">
      <c r="A66" s="4">
        <v>43</v>
      </c>
      <c r="B66" s="5">
        <f t="shared" ca="1" si="9"/>
        <v>0.92479525232237314</v>
      </c>
      <c r="C66" s="9">
        <f t="shared" ca="1" si="10"/>
        <v>-250</v>
      </c>
      <c r="D66" s="9">
        <f t="shared" ca="1" si="11"/>
        <v>50950</v>
      </c>
      <c r="E66" s="9">
        <f t="shared" ca="1" si="12"/>
        <v>51200</v>
      </c>
      <c r="F66" s="9">
        <f t="shared" ca="1" si="8"/>
        <v>49200</v>
      </c>
      <c r="G66" s="4">
        <f t="shared" ca="1" si="13"/>
        <v>0</v>
      </c>
      <c r="H66" s="8" t="str">
        <f t="shared" ca="1" si="14"/>
        <v/>
      </c>
      <c r="I66" s="14"/>
      <c r="J66" s="14"/>
      <c r="K66" s="14">
        <f t="shared" si="6"/>
        <v>52100</v>
      </c>
      <c r="L66" s="14">
        <f t="shared" si="7"/>
        <v>2000</v>
      </c>
      <c r="M66" s="14"/>
      <c r="N66" s="14"/>
      <c r="O66" s="14"/>
      <c r="P66" s="14"/>
      <c r="Q66" s="14"/>
      <c r="R66" s="14"/>
      <c r="S66" s="14"/>
      <c r="T66" s="14"/>
      <c r="U66" s="14"/>
    </row>
    <row r="67" spans="1:21">
      <c r="A67" s="4">
        <v>44</v>
      </c>
      <c r="B67" s="5">
        <f t="shared" ca="1" si="9"/>
        <v>0.39143631386568301</v>
      </c>
      <c r="C67" s="9">
        <f t="shared" ca="1" si="10"/>
        <v>250</v>
      </c>
      <c r="D67" s="9">
        <f t="shared" ca="1" si="11"/>
        <v>51200</v>
      </c>
      <c r="E67" s="9">
        <f t="shared" ca="1" si="12"/>
        <v>51200</v>
      </c>
      <c r="F67" s="9">
        <f t="shared" ca="1" si="8"/>
        <v>49200</v>
      </c>
      <c r="G67" s="4">
        <f t="shared" ca="1" si="13"/>
        <v>0</v>
      </c>
      <c r="H67" s="8" t="str">
        <f t="shared" ca="1" si="14"/>
        <v/>
      </c>
      <c r="I67" s="14"/>
      <c r="J67" s="14"/>
      <c r="K67" s="14">
        <f t="shared" si="6"/>
        <v>52100</v>
      </c>
      <c r="L67" s="14">
        <f t="shared" si="7"/>
        <v>2000</v>
      </c>
      <c r="M67" s="14"/>
      <c r="N67" s="14"/>
      <c r="O67" s="14"/>
      <c r="P67" s="14"/>
      <c r="Q67" s="14"/>
      <c r="R67" s="14"/>
      <c r="S67" s="14"/>
      <c r="T67" s="14"/>
      <c r="U67" s="14"/>
    </row>
    <row r="68" spans="1:21">
      <c r="A68" s="4">
        <v>45</v>
      </c>
      <c r="B68" s="5">
        <f t="shared" ca="1" si="9"/>
        <v>0.66517678037995942</v>
      </c>
      <c r="C68" s="9">
        <f t="shared" ca="1" si="10"/>
        <v>-250</v>
      </c>
      <c r="D68" s="9">
        <f t="shared" ca="1" si="11"/>
        <v>50950</v>
      </c>
      <c r="E68" s="9">
        <f t="shared" ca="1" si="12"/>
        <v>51200</v>
      </c>
      <c r="F68" s="9">
        <f t="shared" ca="1" si="8"/>
        <v>49200</v>
      </c>
      <c r="G68" s="4">
        <f t="shared" ca="1" si="13"/>
        <v>0</v>
      </c>
      <c r="H68" s="8" t="str">
        <f t="shared" ca="1" si="14"/>
        <v/>
      </c>
      <c r="I68" s="14"/>
      <c r="J68" s="14"/>
      <c r="K68" s="14">
        <f t="shared" si="6"/>
        <v>52100</v>
      </c>
      <c r="L68" s="14">
        <f t="shared" si="7"/>
        <v>2000</v>
      </c>
      <c r="M68" s="14"/>
      <c r="N68" s="14"/>
      <c r="O68" s="14"/>
      <c r="P68" s="14"/>
      <c r="Q68" s="14"/>
      <c r="R68" s="14"/>
      <c r="S68" s="14"/>
      <c r="T68" s="14"/>
      <c r="U68" s="14"/>
    </row>
    <row r="69" spans="1:21">
      <c r="A69" s="4">
        <v>46</v>
      </c>
      <c r="B69" s="5">
        <f t="shared" ca="1" si="9"/>
        <v>0.60391781631323549</v>
      </c>
      <c r="C69" s="9">
        <f t="shared" ca="1" si="10"/>
        <v>25</v>
      </c>
      <c r="D69" s="9">
        <f t="shared" ca="1" si="11"/>
        <v>50975</v>
      </c>
      <c r="E69" s="9">
        <f t="shared" ca="1" si="12"/>
        <v>51200</v>
      </c>
      <c r="F69" s="9">
        <f t="shared" ca="1" si="8"/>
        <v>49200</v>
      </c>
      <c r="G69" s="4">
        <f t="shared" ca="1" si="13"/>
        <v>0</v>
      </c>
      <c r="H69" s="8" t="str">
        <f t="shared" ca="1" si="14"/>
        <v/>
      </c>
      <c r="I69" s="14"/>
      <c r="J69" s="14"/>
      <c r="K69" s="14">
        <f t="shared" si="6"/>
        <v>52100</v>
      </c>
      <c r="L69" s="14">
        <f t="shared" si="7"/>
        <v>2000</v>
      </c>
      <c r="M69" s="14"/>
      <c r="N69" s="14"/>
      <c r="O69" s="14"/>
      <c r="P69" s="14"/>
      <c r="Q69" s="14"/>
      <c r="R69" s="14"/>
      <c r="S69" s="14"/>
      <c r="T69" s="14"/>
      <c r="U69" s="14"/>
    </row>
    <row r="70" spans="1:21">
      <c r="A70" s="4">
        <v>47</v>
      </c>
      <c r="B70" s="5">
        <f t="shared" ca="1" si="9"/>
        <v>0.35111530454281248</v>
      </c>
      <c r="C70" s="9">
        <f t="shared" ca="1" si="10"/>
        <v>250</v>
      </c>
      <c r="D70" s="9">
        <f t="shared" ca="1" si="11"/>
        <v>51225</v>
      </c>
      <c r="E70" s="9">
        <f t="shared" ca="1" si="12"/>
        <v>51225</v>
      </c>
      <c r="F70" s="9">
        <f t="shared" ca="1" si="8"/>
        <v>49225</v>
      </c>
      <c r="G70" s="4">
        <f t="shared" ca="1" si="13"/>
        <v>0</v>
      </c>
      <c r="H70" s="8" t="str">
        <f t="shared" ca="1" si="14"/>
        <v/>
      </c>
      <c r="I70" s="14"/>
      <c r="J70" s="14"/>
      <c r="K70" s="14">
        <f t="shared" si="6"/>
        <v>52100</v>
      </c>
      <c r="L70" s="14">
        <f t="shared" si="7"/>
        <v>2000</v>
      </c>
      <c r="M70" s="14"/>
      <c r="N70" s="14"/>
      <c r="O70" s="14"/>
      <c r="P70" s="14"/>
      <c r="Q70" s="14"/>
      <c r="R70" s="14"/>
      <c r="S70" s="14"/>
      <c r="T70" s="14"/>
      <c r="U70" s="14"/>
    </row>
    <row r="71" spans="1:21">
      <c r="A71" s="4">
        <v>48</v>
      </c>
      <c r="B71" s="5">
        <f t="shared" ca="1" si="9"/>
        <v>0.7763871605561441</v>
      </c>
      <c r="C71" s="9">
        <f t="shared" ca="1" si="10"/>
        <v>-250</v>
      </c>
      <c r="D71" s="9">
        <f t="shared" ca="1" si="11"/>
        <v>50975</v>
      </c>
      <c r="E71" s="9">
        <f t="shared" ca="1" si="12"/>
        <v>51225</v>
      </c>
      <c r="F71" s="9">
        <f t="shared" ca="1" si="8"/>
        <v>49225</v>
      </c>
      <c r="G71" s="4">
        <f t="shared" ca="1" si="13"/>
        <v>0</v>
      </c>
      <c r="H71" s="8" t="str">
        <f t="shared" ca="1" si="14"/>
        <v/>
      </c>
      <c r="I71" s="14"/>
      <c r="J71" s="14"/>
      <c r="K71" s="14">
        <f t="shared" si="6"/>
        <v>52100</v>
      </c>
      <c r="L71" s="14">
        <f t="shared" si="7"/>
        <v>2000</v>
      </c>
      <c r="M71" s="14"/>
      <c r="N71" s="14"/>
      <c r="O71" s="14"/>
      <c r="P71" s="14"/>
      <c r="Q71" s="14"/>
      <c r="R71" s="14"/>
      <c r="S71" s="14"/>
      <c r="T71" s="14"/>
      <c r="U71" s="14"/>
    </row>
    <row r="72" spans="1:21">
      <c r="A72" s="4">
        <v>49</v>
      </c>
      <c r="B72" s="5">
        <f t="shared" ca="1" si="9"/>
        <v>0.84252914774321686</v>
      </c>
      <c r="C72" s="9">
        <f t="shared" ca="1" si="10"/>
        <v>-250</v>
      </c>
      <c r="D72" s="9">
        <f t="shared" ca="1" si="11"/>
        <v>50725</v>
      </c>
      <c r="E72" s="9">
        <f t="shared" ca="1" si="12"/>
        <v>51225</v>
      </c>
      <c r="F72" s="9">
        <f t="shared" ca="1" si="8"/>
        <v>49225</v>
      </c>
      <c r="G72" s="4">
        <f t="shared" ca="1" si="13"/>
        <v>0</v>
      </c>
      <c r="H72" s="8" t="str">
        <f t="shared" ca="1" si="14"/>
        <v/>
      </c>
      <c r="I72" s="14"/>
      <c r="J72" s="14"/>
      <c r="K72" s="14">
        <f t="shared" si="6"/>
        <v>52100</v>
      </c>
      <c r="L72" s="14">
        <f>L71</f>
        <v>2000</v>
      </c>
      <c r="M72" s="14"/>
      <c r="N72" s="14"/>
      <c r="O72" s="14"/>
      <c r="P72" s="14"/>
      <c r="Q72" s="14"/>
      <c r="R72" s="14"/>
      <c r="S72" s="14"/>
      <c r="T72" s="14"/>
      <c r="U72" s="14"/>
    </row>
    <row r="73" spans="1:21">
      <c r="A73" s="4">
        <v>50</v>
      </c>
      <c r="B73" s="5">
        <f t="shared" ca="1" si="9"/>
        <v>0.43541907209014008</v>
      </c>
      <c r="C73" s="9">
        <f t="shared" ca="1" si="10"/>
        <v>250</v>
      </c>
      <c r="D73" s="9">
        <f t="shared" ca="1" si="11"/>
        <v>50975</v>
      </c>
      <c r="E73" s="9">
        <f t="shared" ca="1" si="12"/>
        <v>51225</v>
      </c>
      <c r="F73" s="9">
        <f t="shared" ca="1" si="8"/>
        <v>49225</v>
      </c>
      <c r="G73" s="4">
        <f t="shared" ca="1" si="13"/>
        <v>0</v>
      </c>
      <c r="H73" s="8" t="str">
        <f t="shared" ca="1" si="14"/>
        <v/>
      </c>
      <c r="I73" s="14"/>
      <c r="J73" s="14"/>
      <c r="K73" s="14">
        <f t="shared" si="6"/>
        <v>52100</v>
      </c>
      <c r="L73" s="14">
        <f t="shared" si="7"/>
        <v>2000</v>
      </c>
      <c r="M73" s="14"/>
      <c r="N73" s="14"/>
      <c r="O73" s="14"/>
      <c r="P73" s="14"/>
      <c r="Q73" s="14"/>
      <c r="R73" s="14"/>
      <c r="S73" s="14"/>
      <c r="T73" s="14"/>
      <c r="U73" s="14"/>
    </row>
    <row r="74" spans="1:21">
      <c r="A74" s="4">
        <v>51</v>
      </c>
      <c r="B74" s="5">
        <f t="shared" ca="1" si="9"/>
        <v>0.18534575806273024</v>
      </c>
      <c r="C74" s="9">
        <f t="shared" ca="1" si="10"/>
        <v>250</v>
      </c>
      <c r="D74" s="9">
        <f t="shared" ca="1" si="11"/>
        <v>51225</v>
      </c>
      <c r="E74" s="9">
        <f t="shared" ca="1" si="12"/>
        <v>51225</v>
      </c>
      <c r="F74" s="9">
        <f t="shared" ca="1" si="8"/>
        <v>49225</v>
      </c>
      <c r="G74" s="4">
        <f t="shared" ca="1" si="13"/>
        <v>0</v>
      </c>
      <c r="H74" s="8" t="str">
        <f t="shared" ca="1" si="14"/>
        <v/>
      </c>
      <c r="I74" s="14"/>
      <c r="J74" s="14"/>
      <c r="K74" s="14">
        <f t="shared" si="6"/>
        <v>52100</v>
      </c>
      <c r="L74" s="14">
        <f t="shared" si="7"/>
        <v>2000</v>
      </c>
      <c r="M74" s="14"/>
      <c r="N74" s="14"/>
      <c r="O74" s="14"/>
      <c r="P74" s="14"/>
      <c r="Q74" s="14"/>
      <c r="R74" s="14"/>
      <c r="S74" s="14"/>
      <c r="T74" s="14"/>
      <c r="U74" s="14"/>
    </row>
    <row r="75" spans="1:21">
      <c r="A75" s="4">
        <v>52</v>
      </c>
      <c r="B75" s="5">
        <f t="shared" ca="1" si="9"/>
        <v>0.73467569721327475</v>
      </c>
      <c r="C75" s="9">
        <f t="shared" ca="1" si="10"/>
        <v>-250</v>
      </c>
      <c r="D75" s="9">
        <f t="shared" ca="1" si="11"/>
        <v>50975</v>
      </c>
      <c r="E75" s="9">
        <f t="shared" ca="1" si="12"/>
        <v>51225</v>
      </c>
      <c r="F75" s="9">
        <f t="shared" ca="1" si="8"/>
        <v>49225</v>
      </c>
      <c r="G75" s="4">
        <f t="shared" ca="1" si="13"/>
        <v>0</v>
      </c>
      <c r="H75" s="8" t="str">
        <f t="shared" ca="1" si="14"/>
        <v/>
      </c>
      <c r="I75" s="14"/>
      <c r="J75" s="14"/>
      <c r="K75" s="14">
        <f t="shared" si="6"/>
        <v>52100</v>
      </c>
      <c r="L75" s="14">
        <f t="shared" si="7"/>
        <v>2000</v>
      </c>
      <c r="M75" s="14"/>
      <c r="N75" s="14"/>
      <c r="O75" s="14"/>
      <c r="P75" s="14"/>
      <c r="Q75" s="14"/>
      <c r="R75" s="14"/>
      <c r="S75" s="14"/>
      <c r="T75" s="14"/>
      <c r="U75" s="14"/>
    </row>
    <row r="76" spans="1:21">
      <c r="A76" s="4">
        <v>53</v>
      </c>
      <c r="B76" s="5">
        <f t="shared" ca="1" si="9"/>
        <v>0.46294190639791488</v>
      </c>
      <c r="C76" s="9">
        <f t="shared" ca="1" si="10"/>
        <v>250</v>
      </c>
      <c r="D76" s="9">
        <f t="shared" ca="1" si="11"/>
        <v>51225</v>
      </c>
      <c r="E76" s="9">
        <f t="shared" ca="1" si="12"/>
        <v>51225</v>
      </c>
      <c r="F76" s="9">
        <f t="shared" ca="1" si="8"/>
        <v>49225</v>
      </c>
      <c r="G76" s="4">
        <f t="shared" ca="1" si="13"/>
        <v>0</v>
      </c>
      <c r="H76" s="8" t="str">
        <f t="shared" ca="1" si="14"/>
        <v/>
      </c>
      <c r="I76" s="14"/>
      <c r="J76" s="14"/>
      <c r="K76" s="14">
        <f t="shared" si="6"/>
        <v>52100</v>
      </c>
      <c r="L76" s="14">
        <f t="shared" si="7"/>
        <v>2000</v>
      </c>
      <c r="M76" s="14"/>
      <c r="N76" s="14"/>
      <c r="O76" s="14"/>
      <c r="P76" s="14"/>
      <c r="Q76" s="14"/>
      <c r="R76" s="14"/>
      <c r="S76" s="14"/>
      <c r="T76" s="14"/>
      <c r="U76" s="14"/>
    </row>
    <row r="77" spans="1:21">
      <c r="A77" s="4">
        <v>54</v>
      </c>
      <c r="B77" s="5">
        <f t="shared" ca="1" si="9"/>
        <v>0.86850843055866156</v>
      </c>
      <c r="C77" s="9">
        <f t="shared" ca="1" si="10"/>
        <v>-250</v>
      </c>
      <c r="D77" s="9">
        <f t="shared" ca="1" si="11"/>
        <v>50975</v>
      </c>
      <c r="E77" s="9">
        <f t="shared" ca="1" si="12"/>
        <v>51225</v>
      </c>
      <c r="F77" s="9">
        <f t="shared" ca="1" si="8"/>
        <v>49225</v>
      </c>
      <c r="G77" s="4">
        <f t="shared" ca="1" si="13"/>
        <v>0</v>
      </c>
      <c r="H77" s="8" t="str">
        <f t="shared" ca="1" si="14"/>
        <v/>
      </c>
      <c r="I77" s="14"/>
      <c r="J77" s="14"/>
      <c r="K77" s="14">
        <f t="shared" si="6"/>
        <v>52100</v>
      </c>
      <c r="L77" s="14">
        <f t="shared" si="7"/>
        <v>2000</v>
      </c>
      <c r="M77" s="14"/>
      <c r="N77" s="14"/>
      <c r="O77" s="14"/>
      <c r="P77" s="14"/>
      <c r="Q77" s="14"/>
      <c r="R77" s="14"/>
      <c r="S77" s="14"/>
      <c r="T77" s="14"/>
      <c r="U77" s="14"/>
    </row>
    <row r="78" spans="1:21">
      <c r="A78" s="4">
        <v>55</v>
      </c>
      <c r="B78" s="5">
        <f t="shared" ca="1" si="9"/>
        <v>0.63192521074037222</v>
      </c>
      <c r="C78" s="9">
        <f t="shared" ca="1" si="10"/>
        <v>25</v>
      </c>
      <c r="D78" s="9">
        <f t="shared" ca="1" si="11"/>
        <v>51000</v>
      </c>
      <c r="E78" s="9">
        <f t="shared" ca="1" si="12"/>
        <v>51225</v>
      </c>
      <c r="F78" s="9">
        <f t="shared" ca="1" si="8"/>
        <v>49225</v>
      </c>
      <c r="G78" s="4">
        <f t="shared" ca="1" si="13"/>
        <v>0</v>
      </c>
      <c r="H78" s="8" t="str">
        <f t="shared" ca="1" si="14"/>
        <v/>
      </c>
      <c r="I78" s="14"/>
      <c r="J78" s="14"/>
      <c r="K78" s="14">
        <f t="shared" si="6"/>
        <v>52100</v>
      </c>
      <c r="L78" s="14">
        <f t="shared" si="7"/>
        <v>2000</v>
      </c>
      <c r="M78" s="14"/>
      <c r="N78" s="14"/>
      <c r="O78" s="14"/>
      <c r="P78" s="14"/>
      <c r="Q78" s="14"/>
      <c r="R78" s="14"/>
      <c r="S78" s="14"/>
      <c r="T78" s="14"/>
      <c r="U78" s="14"/>
    </row>
    <row r="79" spans="1:21">
      <c r="A79" s="4">
        <v>56</v>
      </c>
      <c r="B79" s="5">
        <f t="shared" ca="1" si="9"/>
        <v>0.98586515279519038</v>
      </c>
      <c r="C79" s="9">
        <f t="shared" ca="1" si="10"/>
        <v>-250</v>
      </c>
      <c r="D79" s="9">
        <f t="shared" ca="1" si="11"/>
        <v>50750</v>
      </c>
      <c r="E79" s="9">
        <f t="shared" ca="1" si="12"/>
        <v>51225</v>
      </c>
      <c r="F79" s="9">
        <f t="shared" ca="1" si="8"/>
        <v>49225</v>
      </c>
      <c r="G79" s="4">
        <f t="shared" ca="1" si="13"/>
        <v>0</v>
      </c>
      <c r="H79" s="8" t="str">
        <f t="shared" ca="1" si="14"/>
        <v/>
      </c>
      <c r="I79" s="14"/>
      <c r="J79" s="14"/>
      <c r="K79" s="14">
        <f t="shared" si="6"/>
        <v>52100</v>
      </c>
      <c r="L79" s="14">
        <f t="shared" si="7"/>
        <v>2000</v>
      </c>
      <c r="M79" s="14"/>
      <c r="N79" s="14"/>
      <c r="O79" s="14"/>
      <c r="P79" s="14"/>
      <c r="Q79" s="14"/>
      <c r="R79" s="14"/>
      <c r="S79" s="14"/>
      <c r="T79" s="14"/>
      <c r="U79" s="14"/>
    </row>
    <row r="80" spans="1:21">
      <c r="A80" s="4">
        <v>57</v>
      </c>
      <c r="B80" s="5">
        <f t="shared" ca="1" si="9"/>
        <v>0.56105575725152124</v>
      </c>
      <c r="C80" s="9">
        <f t="shared" ca="1" si="10"/>
        <v>25</v>
      </c>
      <c r="D80" s="9">
        <f t="shared" ca="1" si="11"/>
        <v>50775</v>
      </c>
      <c r="E80" s="9">
        <f t="shared" ca="1" si="12"/>
        <v>51225</v>
      </c>
      <c r="F80" s="9">
        <f t="shared" ca="1" si="8"/>
        <v>49225</v>
      </c>
      <c r="G80" s="4">
        <f t="shared" ca="1" si="13"/>
        <v>0</v>
      </c>
      <c r="H80" s="8" t="str">
        <f t="shared" ca="1" si="14"/>
        <v/>
      </c>
      <c r="I80" s="14"/>
      <c r="J80" s="14"/>
      <c r="K80" s="14">
        <f t="shared" si="6"/>
        <v>52100</v>
      </c>
      <c r="L80" s="14">
        <f t="shared" si="7"/>
        <v>2000</v>
      </c>
      <c r="M80" s="14"/>
      <c r="N80" s="14"/>
      <c r="O80" s="14"/>
      <c r="P80" s="14"/>
      <c r="Q80" s="14"/>
      <c r="R80" s="14"/>
      <c r="S80" s="14"/>
      <c r="T80" s="14"/>
      <c r="U80" s="14"/>
    </row>
    <row r="81" spans="1:21">
      <c r="A81" s="4">
        <v>58</v>
      </c>
      <c r="B81" s="5">
        <f t="shared" ca="1" si="9"/>
        <v>0.36234978543871443</v>
      </c>
      <c r="C81" s="9">
        <f t="shared" ca="1" si="10"/>
        <v>250</v>
      </c>
      <c r="D81" s="9">
        <f t="shared" ca="1" si="11"/>
        <v>51025</v>
      </c>
      <c r="E81" s="9">
        <f t="shared" ca="1" si="12"/>
        <v>51225</v>
      </c>
      <c r="F81" s="9">
        <f t="shared" ca="1" si="8"/>
        <v>49225</v>
      </c>
      <c r="G81" s="4">
        <f t="shared" ca="1" si="13"/>
        <v>0</v>
      </c>
      <c r="H81" s="8" t="str">
        <f t="shared" ca="1" si="14"/>
        <v/>
      </c>
      <c r="I81" s="14"/>
      <c r="J81" s="14"/>
      <c r="K81" s="14">
        <f t="shared" si="6"/>
        <v>52100</v>
      </c>
      <c r="L81" s="14">
        <f>L80</f>
        <v>2000</v>
      </c>
      <c r="M81" s="14"/>
      <c r="N81" s="14"/>
      <c r="O81" s="14"/>
      <c r="P81" s="14"/>
      <c r="Q81" s="14"/>
      <c r="R81" s="14"/>
      <c r="S81" s="14"/>
      <c r="T81" s="14"/>
      <c r="U81" s="14"/>
    </row>
    <row r="82" spans="1:21">
      <c r="A82" s="4">
        <v>59</v>
      </c>
      <c r="B82" s="5">
        <f t="shared" ca="1" si="9"/>
        <v>0.93426821376089386</v>
      </c>
      <c r="C82" s="9">
        <f t="shared" ca="1" si="10"/>
        <v>-250</v>
      </c>
      <c r="D82" s="9">
        <f t="shared" ca="1" si="11"/>
        <v>50775</v>
      </c>
      <c r="E82" s="9">
        <f t="shared" ca="1" si="12"/>
        <v>51225</v>
      </c>
      <c r="F82" s="9">
        <f t="shared" ca="1" si="8"/>
        <v>49225</v>
      </c>
      <c r="G82" s="4">
        <f t="shared" ca="1" si="13"/>
        <v>0</v>
      </c>
      <c r="H82" s="8" t="str">
        <f t="shared" ca="1" si="14"/>
        <v/>
      </c>
      <c r="I82" s="14"/>
      <c r="J82" s="14"/>
      <c r="K82" s="14">
        <f t="shared" si="6"/>
        <v>52100</v>
      </c>
      <c r="L82" s="14">
        <f t="shared" si="7"/>
        <v>2000</v>
      </c>
      <c r="M82" s="14"/>
      <c r="N82" s="14"/>
      <c r="O82" s="14"/>
      <c r="P82" s="14"/>
      <c r="Q82" s="14"/>
      <c r="R82" s="14"/>
      <c r="S82" s="14"/>
      <c r="T82" s="14"/>
      <c r="U82" s="14"/>
    </row>
    <row r="83" spans="1:21">
      <c r="A83" s="4">
        <v>60</v>
      </c>
      <c r="B83" s="5">
        <f t="shared" ca="1" si="9"/>
        <v>5.6140138288879093E-2</v>
      </c>
      <c r="C83" s="9">
        <f t="shared" ca="1" si="10"/>
        <v>250</v>
      </c>
      <c r="D83" s="9">
        <f t="shared" ca="1" si="11"/>
        <v>51025</v>
      </c>
      <c r="E83" s="9">
        <f t="shared" ca="1" si="12"/>
        <v>51225</v>
      </c>
      <c r="F83" s="9">
        <f t="shared" ca="1" si="8"/>
        <v>49225</v>
      </c>
      <c r="G83" s="4">
        <f t="shared" ca="1" si="13"/>
        <v>0</v>
      </c>
      <c r="H83" s="8" t="str">
        <f t="shared" ca="1" si="14"/>
        <v/>
      </c>
      <c r="I83" s="14"/>
      <c r="J83" s="14"/>
      <c r="K83" s="14">
        <f t="shared" si="6"/>
        <v>52100</v>
      </c>
      <c r="L83" s="14">
        <f t="shared" si="7"/>
        <v>2000</v>
      </c>
      <c r="M83" s="14"/>
      <c r="N83" s="14"/>
      <c r="O83" s="14"/>
      <c r="P83" s="14"/>
      <c r="Q83" s="14"/>
      <c r="R83" s="14"/>
      <c r="S83" s="14"/>
      <c r="T83" s="14"/>
      <c r="U83" s="14"/>
    </row>
    <row r="84" spans="1:21">
      <c r="A84" s="4">
        <v>61</v>
      </c>
      <c r="B84" s="5">
        <f t="shared" ca="1" si="9"/>
        <v>0.40907149399360698</v>
      </c>
      <c r="C84" s="9">
        <f t="shared" ca="1" si="10"/>
        <v>250</v>
      </c>
      <c r="D84" s="9">
        <f t="shared" ca="1" si="11"/>
        <v>51275</v>
      </c>
      <c r="E84" s="9">
        <f t="shared" ca="1" si="12"/>
        <v>51275</v>
      </c>
      <c r="F84" s="9">
        <f t="shared" ca="1" si="8"/>
        <v>49275</v>
      </c>
      <c r="G84" s="4">
        <f t="shared" ca="1" si="13"/>
        <v>0</v>
      </c>
      <c r="H84" s="8" t="str">
        <f t="shared" ca="1" si="14"/>
        <v/>
      </c>
      <c r="I84" s="14"/>
      <c r="J84" s="14"/>
      <c r="K84" s="14">
        <f t="shared" si="6"/>
        <v>52100</v>
      </c>
      <c r="L84" s="14">
        <f t="shared" si="7"/>
        <v>2000</v>
      </c>
      <c r="M84" s="14"/>
      <c r="N84" s="14"/>
      <c r="O84" s="14"/>
      <c r="P84" s="14"/>
      <c r="Q84" s="14"/>
      <c r="R84" s="14"/>
      <c r="S84" s="14"/>
      <c r="T84" s="14"/>
      <c r="U84" s="14"/>
    </row>
    <row r="85" spans="1:21">
      <c r="A85" s="4">
        <v>62</v>
      </c>
      <c r="B85" s="5">
        <f t="shared" ca="1" si="9"/>
        <v>0.65922436825130182</v>
      </c>
      <c r="C85" s="9">
        <f t="shared" ca="1" si="10"/>
        <v>-250</v>
      </c>
      <c r="D85" s="9">
        <f t="shared" ca="1" si="11"/>
        <v>51025</v>
      </c>
      <c r="E85" s="9">
        <f t="shared" ca="1" si="12"/>
        <v>51275</v>
      </c>
      <c r="F85" s="9">
        <f t="shared" ca="1" si="8"/>
        <v>49275</v>
      </c>
      <c r="G85" s="4">
        <f t="shared" ca="1" si="13"/>
        <v>0</v>
      </c>
      <c r="H85" s="8" t="str">
        <f t="shared" ca="1" si="14"/>
        <v/>
      </c>
      <c r="I85" s="14"/>
      <c r="J85" s="14"/>
      <c r="K85" s="14">
        <f t="shared" si="6"/>
        <v>52100</v>
      </c>
      <c r="L85" s="14">
        <f t="shared" si="7"/>
        <v>2000</v>
      </c>
      <c r="M85" s="14"/>
      <c r="N85" s="14"/>
      <c r="O85" s="14"/>
      <c r="P85" s="14"/>
      <c r="Q85" s="14"/>
      <c r="R85" s="14"/>
      <c r="S85" s="14"/>
      <c r="T85" s="14"/>
      <c r="U85" s="14"/>
    </row>
    <row r="86" spans="1:21">
      <c r="A86" s="4">
        <v>63</v>
      </c>
      <c r="B86" s="5">
        <f t="shared" ca="1" si="9"/>
        <v>0.15194522776236352</v>
      </c>
      <c r="C86" s="9">
        <f t="shared" ca="1" si="10"/>
        <v>250</v>
      </c>
      <c r="D86" s="9">
        <f t="shared" ca="1" si="11"/>
        <v>51275</v>
      </c>
      <c r="E86" s="9">
        <f t="shared" ca="1" si="12"/>
        <v>51275</v>
      </c>
      <c r="F86" s="9">
        <f t="shared" ca="1" si="8"/>
        <v>49275</v>
      </c>
      <c r="G86" s="4">
        <f t="shared" ca="1" si="13"/>
        <v>0</v>
      </c>
      <c r="H86" s="8" t="str">
        <f t="shared" ca="1" si="14"/>
        <v/>
      </c>
      <c r="I86" s="14"/>
      <c r="J86" s="14"/>
      <c r="K86" s="14">
        <f t="shared" si="6"/>
        <v>52100</v>
      </c>
      <c r="L86" s="14">
        <f t="shared" si="7"/>
        <v>2000</v>
      </c>
      <c r="M86" s="14"/>
      <c r="N86" s="14"/>
      <c r="O86" s="14"/>
      <c r="P86" s="14"/>
      <c r="Q86" s="14"/>
      <c r="R86" s="14"/>
      <c r="S86" s="14"/>
      <c r="T86" s="14"/>
      <c r="U86" s="14"/>
    </row>
    <row r="87" spans="1:21">
      <c r="A87" s="4">
        <v>64</v>
      </c>
      <c r="B87" s="5">
        <f t="shared" ca="1" si="9"/>
        <v>0.46397317778815028</v>
      </c>
      <c r="C87" s="9">
        <f t="shared" ca="1" si="10"/>
        <v>250</v>
      </c>
      <c r="D87" s="9">
        <f t="shared" ca="1" si="11"/>
        <v>51525</v>
      </c>
      <c r="E87" s="9">
        <f t="shared" ca="1" si="12"/>
        <v>51525</v>
      </c>
      <c r="F87" s="9">
        <f t="shared" ca="1" si="8"/>
        <v>49525</v>
      </c>
      <c r="G87" s="4">
        <f t="shared" ca="1" si="13"/>
        <v>0</v>
      </c>
      <c r="H87" s="8" t="str">
        <f t="shared" ca="1" si="14"/>
        <v/>
      </c>
      <c r="I87" s="14"/>
      <c r="J87" s="14"/>
      <c r="K87" s="14">
        <f t="shared" si="6"/>
        <v>52100</v>
      </c>
      <c r="L87" s="14">
        <f t="shared" si="7"/>
        <v>2000</v>
      </c>
      <c r="M87" s="14"/>
      <c r="N87" s="14"/>
      <c r="O87" s="14"/>
      <c r="P87" s="14"/>
      <c r="Q87" s="14"/>
      <c r="R87" s="14"/>
      <c r="S87" s="14"/>
      <c r="T87" s="14"/>
      <c r="U87" s="14"/>
    </row>
    <row r="88" spans="1:21">
      <c r="A88" s="4">
        <v>65</v>
      </c>
      <c r="B88" s="5">
        <f t="shared" ref="B88:B123" ca="1" si="15">RAND()</f>
        <v>0.1623949862720736</v>
      </c>
      <c r="C88" s="9">
        <f t="shared" ref="C88:C119" ca="1" si="16">IF($B$12=0, IF(B88&lt;$B$11/100, $B$15*$B$16, -$B$15), IF(B88&lt;$B$11/100, $B$15*$B$16, IF(B88&lt;$B$11/100+$B$12/100, $B$15*$B$17, -$B$15)))</f>
        <v>250</v>
      </c>
      <c r="D88" s="9">
        <f t="shared" ca="1" si="11"/>
        <v>51775</v>
      </c>
      <c r="E88" s="9">
        <f t="shared" ca="1" si="12"/>
        <v>51775</v>
      </c>
      <c r="F88" s="9">
        <f t="shared" ca="1" si="8"/>
        <v>49775</v>
      </c>
      <c r="G88" s="4">
        <f t="shared" ca="1" si="13"/>
        <v>0</v>
      </c>
      <c r="H88" s="8" t="str">
        <f t="shared" ca="1" si="14"/>
        <v/>
      </c>
      <c r="I88" s="14"/>
      <c r="J88" s="14"/>
      <c r="K88" s="14">
        <f t="shared" si="6"/>
        <v>52100</v>
      </c>
      <c r="L88" s="14">
        <f t="shared" si="7"/>
        <v>2000</v>
      </c>
      <c r="M88" s="14"/>
      <c r="N88" s="14"/>
      <c r="O88" s="14"/>
      <c r="P88" s="14"/>
      <c r="Q88" s="14"/>
      <c r="R88" s="14"/>
      <c r="S88" s="14"/>
      <c r="T88" s="14"/>
      <c r="U88" s="14"/>
    </row>
    <row r="89" spans="1:21">
      <c r="A89" s="4">
        <v>66</v>
      </c>
      <c r="B89" s="5">
        <f t="shared" ca="1" si="15"/>
        <v>0.96538637640958258</v>
      </c>
      <c r="C89" s="9">
        <f t="shared" ca="1" si="16"/>
        <v>-250</v>
      </c>
      <c r="D89" s="9">
        <f t="shared" ref="D89:D120" ca="1" si="17">IF(G88=1,$B$14,D88+C89)</f>
        <v>51525</v>
      </c>
      <c r="E89" s="9">
        <f t="shared" ref="E89:E120" ca="1" si="18">IF(G88=1,$B$14,MAX(E88,D89))</f>
        <v>51775</v>
      </c>
      <c r="F89" s="9">
        <f t="shared" ca="1" si="8"/>
        <v>49775</v>
      </c>
      <c r="G89" s="4">
        <f t="shared" ref="G89:G120" ca="1" si="19">IF(G88=1,0,IF(D89&lt;=F89,1,0))</f>
        <v>0</v>
      </c>
      <c r="H89" s="8" t="str">
        <f t="shared" ref="H89:H120" ca="1" si="20">IF(AND(G89=1,G88=0),1,"")</f>
        <v/>
      </c>
      <c r="I89" s="14"/>
      <c r="J89" s="14"/>
      <c r="K89" s="14">
        <f t="shared" si="6"/>
        <v>52100</v>
      </c>
      <c r="L89" s="14">
        <f t="shared" si="7"/>
        <v>2000</v>
      </c>
      <c r="M89" s="14"/>
      <c r="N89" s="14"/>
      <c r="O89" s="14"/>
      <c r="P89" s="14"/>
      <c r="Q89" s="14"/>
      <c r="R89" s="14"/>
      <c r="S89" s="14"/>
      <c r="T89" s="14"/>
      <c r="U89" s="14"/>
    </row>
    <row r="90" spans="1:21">
      <c r="A90" s="4">
        <v>67</v>
      </c>
      <c r="B90" s="5">
        <f t="shared" ca="1" si="15"/>
        <v>0.82895410359510135</v>
      </c>
      <c r="C90" s="9">
        <f t="shared" ca="1" si="16"/>
        <v>-250</v>
      </c>
      <c r="D90" s="9">
        <f t="shared" ca="1" si="17"/>
        <v>51275</v>
      </c>
      <c r="E90" s="9">
        <f t="shared" ca="1" si="18"/>
        <v>51775</v>
      </c>
      <c r="F90" s="9">
        <f t="shared" ca="1" si="8"/>
        <v>49775</v>
      </c>
      <c r="G90" s="4">
        <f t="shared" ca="1" si="19"/>
        <v>0</v>
      </c>
      <c r="H90" s="8" t="str">
        <f t="shared" ca="1" si="20"/>
        <v/>
      </c>
      <c r="I90" s="14"/>
      <c r="J90" s="14"/>
      <c r="K90" s="14">
        <f t="shared" ref="K90:K121" si="21">K89</f>
        <v>52100</v>
      </c>
      <c r="L90" s="14">
        <f t="shared" ref="L90:L123" si="22">L89</f>
        <v>2000</v>
      </c>
      <c r="M90" s="14"/>
      <c r="N90" s="14"/>
      <c r="O90" s="14"/>
      <c r="P90" s="14"/>
      <c r="Q90" s="14"/>
      <c r="R90" s="14"/>
      <c r="S90" s="14"/>
      <c r="T90" s="14"/>
      <c r="U90" s="14"/>
    </row>
    <row r="91" spans="1:21">
      <c r="A91" s="4">
        <v>68</v>
      </c>
      <c r="B91" s="5">
        <f t="shared" ca="1" si="15"/>
        <v>0.57130156050430658</v>
      </c>
      <c r="C91" s="9">
        <f t="shared" ca="1" si="16"/>
        <v>25</v>
      </c>
      <c r="D91" s="9">
        <f t="shared" ca="1" si="17"/>
        <v>51300</v>
      </c>
      <c r="E91" s="9">
        <f t="shared" ca="1" si="18"/>
        <v>51775</v>
      </c>
      <c r="F91" s="9">
        <f t="shared" ca="1" si="8"/>
        <v>49775</v>
      </c>
      <c r="G91" s="4">
        <f t="shared" ca="1" si="19"/>
        <v>0</v>
      </c>
      <c r="H91" s="8" t="str">
        <f t="shared" ca="1" si="20"/>
        <v/>
      </c>
      <c r="I91" s="14"/>
      <c r="J91" s="14"/>
      <c r="K91" s="14">
        <f t="shared" si="21"/>
        <v>52100</v>
      </c>
      <c r="L91" s="14">
        <f t="shared" si="22"/>
        <v>2000</v>
      </c>
      <c r="M91" s="14"/>
      <c r="N91" s="14"/>
      <c r="O91" s="14"/>
      <c r="P91" s="14"/>
      <c r="Q91" s="14"/>
      <c r="R91" s="14"/>
      <c r="S91" s="14"/>
      <c r="T91" s="14"/>
      <c r="U91" s="14"/>
    </row>
    <row r="92" spans="1:21">
      <c r="A92" s="4">
        <v>69</v>
      </c>
      <c r="B92" s="5">
        <f t="shared" ca="1" si="15"/>
        <v>0.88264045528437296</v>
      </c>
      <c r="C92" s="9">
        <f t="shared" ca="1" si="16"/>
        <v>-250</v>
      </c>
      <c r="D92" s="9">
        <f t="shared" ca="1" si="17"/>
        <v>51050</v>
      </c>
      <c r="E92" s="9">
        <f t="shared" ca="1" si="18"/>
        <v>51775</v>
      </c>
      <c r="F92" s="9">
        <f t="shared" ref="F92:F123" ca="1" si="23">IF(G91=1,$B$14-L92,IF(E92&gt;K92,$B$14,MAX(F91,D92-L92)))</f>
        <v>49775</v>
      </c>
      <c r="G92" s="4">
        <f t="shared" ca="1" si="19"/>
        <v>0</v>
      </c>
      <c r="H92" s="8" t="str">
        <f t="shared" ca="1" si="20"/>
        <v/>
      </c>
      <c r="I92" s="14"/>
      <c r="J92" s="14"/>
      <c r="K92" s="14">
        <f t="shared" si="21"/>
        <v>52100</v>
      </c>
      <c r="L92" s="14">
        <f t="shared" si="22"/>
        <v>2000</v>
      </c>
      <c r="M92" s="14"/>
      <c r="N92" s="14"/>
      <c r="O92" s="14"/>
      <c r="P92" s="14"/>
      <c r="Q92" s="14"/>
      <c r="R92" s="14"/>
      <c r="S92" s="14"/>
      <c r="T92" s="14"/>
      <c r="U92" s="14"/>
    </row>
    <row r="93" spans="1:21">
      <c r="A93" s="4">
        <v>70</v>
      </c>
      <c r="B93" s="5">
        <f t="shared" ca="1" si="15"/>
        <v>0.89870211734341754</v>
      </c>
      <c r="C93" s="9">
        <f t="shared" ca="1" si="16"/>
        <v>-250</v>
      </c>
      <c r="D93" s="9">
        <f t="shared" ca="1" si="17"/>
        <v>50800</v>
      </c>
      <c r="E93" s="9">
        <f t="shared" ca="1" si="18"/>
        <v>51775</v>
      </c>
      <c r="F93" s="9">
        <f t="shared" ca="1" si="23"/>
        <v>49775</v>
      </c>
      <c r="G93" s="4">
        <f t="shared" ca="1" si="19"/>
        <v>0</v>
      </c>
      <c r="H93" s="8" t="str">
        <f t="shared" ca="1" si="20"/>
        <v/>
      </c>
      <c r="I93" s="14"/>
      <c r="J93" s="14"/>
      <c r="K93" s="14">
        <f t="shared" si="21"/>
        <v>52100</v>
      </c>
      <c r="L93" s="14">
        <f t="shared" si="22"/>
        <v>2000</v>
      </c>
      <c r="M93" s="14"/>
      <c r="N93" s="14"/>
      <c r="O93" s="14"/>
      <c r="P93" s="14"/>
      <c r="Q93" s="14"/>
      <c r="R93" s="14"/>
      <c r="S93" s="14"/>
      <c r="T93" s="14"/>
      <c r="U93" s="14"/>
    </row>
    <row r="94" spans="1:21">
      <c r="A94" s="4">
        <v>71</v>
      </c>
      <c r="B94" s="5">
        <f t="shared" ca="1" si="15"/>
        <v>0.1074382689302682</v>
      </c>
      <c r="C94" s="9">
        <f t="shared" ca="1" si="16"/>
        <v>250</v>
      </c>
      <c r="D94" s="9">
        <f t="shared" ca="1" si="17"/>
        <v>51050</v>
      </c>
      <c r="E94" s="9">
        <f t="shared" ca="1" si="18"/>
        <v>51775</v>
      </c>
      <c r="F94" s="9">
        <f t="shared" ca="1" si="23"/>
        <v>49775</v>
      </c>
      <c r="G94" s="4">
        <f t="shared" ca="1" si="19"/>
        <v>0</v>
      </c>
      <c r="H94" s="8" t="str">
        <f t="shared" ca="1" si="20"/>
        <v/>
      </c>
      <c r="I94" s="14"/>
      <c r="J94" s="14"/>
      <c r="K94" s="14">
        <f t="shared" si="21"/>
        <v>52100</v>
      </c>
      <c r="L94" s="14">
        <f t="shared" si="22"/>
        <v>2000</v>
      </c>
      <c r="M94" s="14"/>
      <c r="N94" s="14"/>
      <c r="O94" s="14"/>
      <c r="P94" s="14"/>
      <c r="Q94" s="14"/>
      <c r="R94" s="14"/>
      <c r="S94" s="14"/>
      <c r="T94" s="14"/>
      <c r="U94" s="14"/>
    </row>
    <row r="95" spans="1:21">
      <c r="A95" s="4">
        <v>72</v>
      </c>
      <c r="B95" s="5">
        <f t="shared" ca="1" si="15"/>
        <v>0.53123855100304762</v>
      </c>
      <c r="C95" s="9">
        <f t="shared" ca="1" si="16"/>
        <v>250</v>
      </c>
      <c r="D95" s="9">
        <f t="shared" ca="1" si="17"/>
        <v>51300</v>
      </c>
      <c r="E95" s="9">
        <f t="shared" ca="1" si="18"/>
        <v>51775</v>
      </c>
      <c r="F95" s="9">
        <f t="shared" ca="1" si="23"/>
        <v>49775</v>
      </c>
      <c r="G95" s="4">
        <f t="shared" ca="1" si="19"/>
        <v>0</v>
      </c>
      <c r="H95" s="8" t="str">
        <f t="shared" ca="1" si="20"/>
        <v/>
      </c>
      <c r="I95" s="14"/>
      <c r="J95" s="14"/>
      <c r="K95" s="14">
        <f t="shared" si="21"/>
        <v>52100</v>
      </c>
      <c r="L95" s="14">
        <f t="shared" si="22"/>
        <v>2000</v>
      </c>
      <c r="M95" s="14"/>
      <c r="N95" s="14"/>
      <c r="O95" s="14"/>
      <c r="P95" s="14"/>
      <c r="Q95" s="14"/>
      <c r="R95" s="14"/>
      <c r="S95" s="14"/>
      <c r="T95" s="14"/>
      <c r="U95" s="14"/>
    </row>
    <row r="96" spans="1:21">
      <c r="A96" s="4">
        <v>73</v>
      </c>
      <c r="B96" s="5">
        <f t="shared" ca="1" si="15"/>
        <v>0.78179761259064073</v>
      </c>
      <c r="C96" s="9">
        <f t="shared" ca="1" si="16"/>
        <v>-250</v>
      </c>
      <c r="D96" s="9">
        <f t="shared" ca="1" si="17"/>
        <v>51050</v>
      </c>
      <c r="E96" s="9">
        <f t="shared" ca="1" si="18"/>
        <v>51775</v>
      </c>
      <c r="F96" s="9">
        <f t="shared" ca="1" si="23"/>
        <v>49775</v>
      </c>
      <c r="G96" s="4">
        <f t="shared" ca="1" si="19"/>
        <v>0</v>
      </c>
      <c r="H96" s="8" t="str">
        <f t="shared" ca="1" si="20"/>
        <v/>
      </c>
      <c r="I96" s="14"/>
      <c r="J96" s="14"/>
      <c r="K96" s="14">
        <f t="shared" si="21"/>
        <v>52100</v>
      </c>
      <c r="L96" s="14">
        <f t="shared" si="22"/>
        <v>2000</v>
      </c>
      <c r="M96" s="14"/>
      <c r="N96" s="14"/>
      <c r="O96" s="14"/>
      <c r="P96" s="14"/>
      <c r="Q96" s="14"/>
      <c r="R96" s="14"/>
      <c r="S96" s="14"/>
      <c r="T96" s="14"/>
      <c r="U96" s="14"/>
    </row>
    <row r="97" spans="1:21">
      <c r="A97" s="4">
        <v>74</v>
      </c>
      <c r="B97" s="5">
        <f t="shared" ca="1" si="15"/>
        <v>0.30287400346523519</v>
      </c>
      <c r="C97" s="9">
        <f t="shared" ca="1" si="16"/>
        <v>250</v>
      </c>
      <c r="D97" s="9">
        <f t="shared" ca="1" si="17"/>
        <v>51300</v>
      </c>
      <c r="E97" s="9">
        <f t="shared" ca="1" si="18"/>
        <v>51775</v>
      </c>
      <c r="F97" s="9">
        <f t="shared" ca="1" si="23"/>
        <v>49775</v>
      </c>
      <c r="G97" s="4">
        <f t="shared" ca="1" si="19"/>
        <v>0</v>
      </c>
      <c r="H97" s="8" t="str">
        <f t="shared" ca="1" si="20"/>
        <v/>
      </c>
      <c r="I97" s="14"/>
      <c r="J97" s="14"/>
      <c r="K97" s="14">
        <f t="shared" si="21"/>
        <v>52100</v>
      </c>
      <c r="L97" s="14">
        <f t="shared" si="22"/>
        <v>2000</v>
      </c>
      <c r="M97" s="14"/>
      <c r="N97" s="14"/>
      <c r="O97" s="14"/>
      <c r="P97" s="14"/>
      <c r="Q97" s="14"/>
      <c r="R97" s="14"/>
      <c r="S97" s="14"/>
      <c r="T97" s="14"/>
      <c r="U97" s="14"/>
    </row>
    <row r="98" spans="1:21">
      <c r="A98" s="4">
        <v>75</v>
      </c>
      <c r="B98" s="5">
        <f t="shared" ca="1" si="15"/>
        <v>7.6344526770043775E-2</v>
      </c>
      <c r="C98" s="9">
        <f t="shared" ca="1" si="16"/>
        <v>250</v>
      </c>
      <c r="D98" s="9">
        <f t="shared" ca="1" si="17"/>
        <v>51550</v>
      </c>
      <c r="E98" s="9">
        <f t="shared" ca="1" si="18"/>
        <v>51775</v>
      </c>
      <c r="F98" s="9">
        <f t="shared" ca="1" si="23"/>
        <v>49775</v>
      </c>
      <c r="G98" s="4">
        <f t="shared" ca="1" si="19"/>
        <v>0</v>
      </c>
      <c r="H98" s="8" t="str">
        <f t="shared" ca="1" si="20"/>
        <v/>
      </c>
      <c r="I98" s="14"/>
      <c r="J98" s="14"/>
      <c r="K98" s="14">
        <f t="shared" si="21"/>
        <v>52100</v>
      </c>
      <c r="L98" s="14">
        <f t="shared" si="22"/>
        <v>2000</v>
      </c>
      <c r="M98" s="14"/>
      <c r="N98" s="14"/>
      <c r="O98" s="14"/>
      <c r="P98" s="14"/>
      <c r="Q98" s="14"/>
      <c r="R98" s="14"/>
      <c r="S98" s="14"/>
      <c r="T98" s="14"/>
      <c r="U98" s="14"/>
    </row>
    <row r="99" spans="1:21">
      <c r="A99" s="4">
        <v>76</v>
      </c>
      <c r="B99" s="5">
        <f t="shared" ca="1" si="15"/>
        <v>0.89033793688463092</v>
      </c>
      <c r="C99" s="9">
        <f t="shared" ca="1" si="16"/>
        <v>-250</v>
      </c>
      <c r="D99" s="9">
        <f t="shared" ca="1" si="17"/>
        <v>51300</v>
      </c>
      <c r="E99" s="9">
        <f t="shared" ca="1" si="18"/>
        <v>51775</v>
      </c>
      <c r="F99" s="9">
        <f t="shared" ca="1" si="23"/>
        <v>49775</v>
      </c>
      <c r="G99" s="4">
        <f t="shared" ca="1" si="19"/>
        <v>0</v>
      </c>
      <c r="H99" s="8" t="str">
        <f t="shared" ca="1" si="20"/>
        <v/>
      </c>
      <c r="I99" s="14"/>
      <c r="J99" s="14"/>
      <c r="K99" s="14">
        <f t="shared" si="21"/>
        <v>52100</v>
      </c>
      <c r="L99" s="14">
        <f t="shared" si="22"/>
        <v>2000</v>
      </c>
      <c r="M99" s="14"/>
      <c r="N99" s="14"/>
      <c r="O99" s="14"/>
      <c r="P99" s="14"/>
      <c r="Q99" s="14"/>
      <c r="R99" s="14"/>
      <c r="S99" s="14"/>
      <c r="T99" s="14"/>
      <c r="U99" s="14"/>
    </row>
    <row r="100" spans="1:21">
      <c r="A100" s="4">
        <v>77</v>
      </c>
      <c r="B100" s="5">
        <f t="shared" ca="1" si="15"/>
        <v>0.21240527225719463</v>
      </c>
      <c r="C100" s="9">
        <f t="shared" ca="1" si="16"/>
        <v>250</v>
      </c>
      <c r="D100" s="9">
        <f t="shared" ca="1" si="17"/>
        <v>51550</v>
      </c>
      <c r="E100" s="9">
        <f t="shared" ca="1" si="18"/>
        <v>51775</v>
      </c>
      <c r="F100" s="9">
        <f t="shared" ca="1" si="23"/>
        <v>49775</v>
      </c>
      <c r="G100" s="4">
        <f t="shared" ca="1" si="19"/>
        <v>0</v>
      </c>
      <c r="H100" s="8" t="str">
        <f t="shared" ca="1" si="20"/>
        <v/>
      </c>
      <c r="I100" s="14"/>
      <c r="J100" s="14"/>
      <c r="K100" s="14">
        <f t="shared" si="21"/>
        <v>52100</v>
      </c>
      <c r="L100" s="14">
        <f t="shared" si="22"/>
        <v>2000</v>
      </c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>
      <c r="A101" s="4">
        <v>78</v>
      </c>
      <c r="B101" s="5">
        <f t="shared" ca="1" si="15"/>
        <v>0.4128593003057851</v>
      </c>
      <c r="C101" s="9">
        <f t="shared" ca="1" si="16"/>
        <v>250</v>
      </c>
      <c r="D101" s="9">
        <f t="shared" ca="1" si="17"/>
        <v>51800</v>
      </c>
      <c r="E101" s="9">
        <f t="shared" ca="1" si="18"/>
        <v>51800</v>
      </c>
      <c r="F101" s="9">
        <f t="shared" ca="1" si="23"/>
        <v>49800</v>
      </c>
      <c r="G101" s="4">
        <f t="shared" ca="1" si="19"/>
        <v>0</v>
      </c>
      <c r="H101" s="8" t="str">
        <f t="shared" ca="1" si="20"/>
        <v/>
      </c>
      <c r="I101" s="14"/>
      <c r="J101" s="14"/>
      <c r="K101" s="14">
        <f t="shared" si="21"/>
        <v>52100</v>
      </c>
      <c r="L101" s="14">
        <f t="shared" si="22"/>
        <v>2000</v>
      </c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>
      <c r="A102" s="4">
        <v>79</v>
      </c>
      <c r="B102" s="5">
        <f t="shared" ca="1" si="15"/>
        <v>0.58046037274155338</v>
      </c>
      <c r="C102" s="9">
        <f t="shared" ca="1" si="16"/>
        <v>25</v>
      </c>
      <c r="D102" s="9">
        <f t="shared" ca="1" si="17"/>
        <v>51825</v>
      </c>
      <c r="E102" s="9">
        <f t="shared" ca="1" si="18"/>
        <v>51825</v>
      </c>
      <c r="F102" s="9">
        <f t="shared" ca="1" si="23"/>
        <v>49825</v>
      </c>
      <c r="G102" s="4">
        <f t="shared" ca="1" si="19"/>
        <v>0</v>
      </c>
      <c r="H102" s="8" t="str">
        <f t="shared" ca="1" si="20"/>
        <v/>
      </c>
      <c r="I102" s="14"/>
      <c r="J102" s="14"/>
      <c r="K102" s="14">
        <f t="shared" si="21"/>
        <v>52100</v>
      </c>
      <c r="L102" s="14">
        <f t="shared" si="22"/>
        <v>2000</v>
      </c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>
      <c r="A103" s="4">
        <v>80</v>
      </c>
      <c r="B103" s="5">
        <f t="shared" ca="1" si="15"/>
        <v>1.0964764333278976E-2</v>
      </c>
      <c r="C103" s="9">
        <f t="shared" ca="1" si="16"/>
        <v>250</v>
      </c>
      <c r="D103" s="9">
        <f t="shared" ca="1" si="17"/>
        <v>52075</v>
      </c>
      <c r="E103" s="9">
        <f t="shared" ca="1" si="18"/>
        <v>52075</v>
      </c>
      <c r="F103" s="9">
        <f t="shared" ca="1" si="23"/>
        <v>50075</v>
      </c>
      <c r="G103" s="4">
        <f t="shared" ca="1" si="19"/>
        <v>0</v>
      </c>
      <c r="H103" s="8" t="str">
        <f t="shared" ca="1" si="20"/>
        <v/>
      </c>
      <c r="I103" s="14"/>
      <c r="J103" s="14"/>
      <c r="K103" s="14">
        <f t="shared" si="21"/>
        <v>52100</v>
      </c>
      <c r="L103" s="14">
        <f t="shared" si="22"/>
        <v>2000</v>
      </c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>
      <c r="A104" s="4">
        <v>81</v>
      </c>
      <c r="B104" s="5">
        <f t="shared" ca="1" si="15"/>
        <v>0.80093319107390804</v>
      </c>
      <c r="C104" s="9">
        <f t="shared" ca="1" si="16"/>
        <v>-250</v>
      </c>
      <c r="D104" s="9">
        <f t="shared" ca="1" si="17"/>
        <v>51825</v>
      </c>
      <c r="E104" s="9">
        <f t="shared" ca="1" si="18"/>
        <v>52075</v>
      </c>
      <c r="F104" s="9">
        <f t="shared" ca="1" si="23"/>
        <v>50075</v>
      </c>
      <c r="G104" s="4">
        <f t="shared" ca="1" si="19"/>
        <v>0</v>
      </c>
      <c r="H104" s="8" t="str">
        <f t="shared" ca="1" si="20"/>
        <v/>
      </c>
      <c r="I104" s="14"/>
      <c r="J104" s="14"/>
      <c r="K104" s="14">
        <f t="shared" si="21"/>
        <v>52100</v>
      </c>
      <c r="L104" s="14">
        <f t="shared" si="22"/>
        <v>2000</v>
      </c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>
      <c r="A105" s="4">
        <v>82</v>
      </c>
      <c r="B105" s="5">
        <f t="shared" ca="1" si="15"/>
        <v>0.54648371340219337</v>
      </c>
      <c r="C105" s="9">
        <f t="shared" ca="1" si="16"/>
        <v>250</v>
      </c>
      <c r="D105" s="9">
        <f t="shared" ca="1" si="17"/>
        <v>52075</v>
      </c>
      <c r="E105" s="9">
        <f t="shared" ca="1" si="18"/>
        <v>52075</v>
      </c>
      <c r="F105" s="9">
        <f t="shared" ca="1" si="23"/>
        <v>50075</v>
      </c>
      <c r="G105" s="4">
        <f t="shared" ca="1" si="19"/>
        <v>0</v>
      </c>
      <c r="H105" s="8" t="str">
        <f t="shared" ca="1" si="20"/>
        <v/>
      </c>
      <c r="I105" s="14"/>
      <c r="J105" s="14"/>
      <c r="K105" s="14">
        <f t="shared" si="21"/>
        <v>52100</v>
      </c>
      <c r="L105" s="14">
        <f>L104</f>
        <v>2000</v>
      </c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>
      <c r="A106" s="4">
        <v>83</v>
      </c>
      <c r="B106" s="5">
        <f t="shared" ca="1" si="15"/>
        <v>0.90709176226047783</v>
      </c>
      <c r="C106" s="9">
        <f t="shared" ca="1" si="16"/>
        <v>-250</v>
      </c>
      <c r="D106" s="9">
        <f t="shared" ca="1" si="17"/>
        <v>51825</v>
      </c>
      <c r="E106" s="9">
        <f t="shared" ca="1" si="18"/>
        <v>52075</v>
      </c>
      <c r="F106" s="9">
        <f t="shared" ca="1" si="23"/>
        <v>50075</v>
      </c>
      <c r="G106" s="4">
        <f t="shared" ca="1" si="19"/>
        <v>0</v>
      </c>
      <c r="H106" s="8" t="str">
        <f t="shared" ca="1" si="20"/>
        <v/>
      </c>
      <c r="I106" s="14"/>
      <c r="J106" s="14"/>
      <c r="K106" s="14">
        <f t="shared" si="21"/>
        <v>52100</v>
      </c>
      <c r="L106" s="14">
        <f t="shared" si="22"/>
        <v>2000</v>
      </c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>
      <c r="A107" s="4">
        <v>84</v>
      </c>
      <c r="B107" s="5">
        <f t="shared" ca="1" si="15"/>
        <v>0.32167027112377189</v>
      </c>
      <c r="C107" s="9">
        <f t="shared" ca="1" si="16"/>
        <v>250</v>
      </c>
      <c r="D107" s="9">
        <f t="shared" ca="1" si="17"/>
        <v>52075</v>
      </c>
      <c r="E107" s="9">
        <f t="shared" ca="1" si="18"/>
        <v>52075</v>
      </c>
      <c r="F107" s="9">
        <f t="shared" ca="1" si="23"/>
        <v>50075</v>
      </c>
      <c r="G107" s="4">
        <f t="shared" ca="1" si="19"/>
        <v>0</v>
      </c>
      <c r="H107" s="8" t="str">
        <f t="shared" ca="1" si="20"/>
        <v/>
      </c>
      <c r="I107" s="14"/>
      <c r="J107" s="14"/>
      <c r="K107" s="14">
        <f t="shared" si="21"/>
        <v>52100</v>
      </c>
      <c r="L107" s="14">
        <f t="shared" si="22"/>
        <v>2000</v>
      </c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>
      <c r="A108" s="4">
        <v>85</v>
      </c>
      <c r="B108" s="5">
        <f t="shared" ca="1" si="15"/>
        <v>0.5479247940830102</v>
      </c>
      <c r="C108" s="9">
        <f t="shared" ca="1" si="16"/>
        <v>250</v>
      </c>
      <c r="D108" s="9">
        <f t="shared" ca="1" si="17"/>
        <v>52325</v>
      </c>
      <c r="E108" s="9">
        <f t="shared" ca="1" si="18"/>
        <v>52325</v>
      </c>
      <c r="F108" s="9">
        <f t="shared" ca="1" si="23"/>
        <v>50000</v>
      </c>
      <c r="G108" s="4">
        <f t="shared" ca="1" si="19"/>
        <v>0</v>
      </c>
      <c r="H108" s="8" t="str">
        <f t="shared" ca="1" si="20"/>
        <v/>
      </c>
      <c r="I108" s="14"/>
      <c r="J108" s="14"/>
      <c r="K108" s="14">
        <f t="shared" si="21"/>
        <v>52100</v>
      </c>
      <c r="L108" s="14">
        <f t="shared" si="22"/>
        <v>2000</v>
      </c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>
      <c r="A109" s="4">
        <v>86</v>
      </c>
      <c r="B109" s="5">
        <f t="shared" ca="1" si="15"/>
        <v>0.86739728646056857</v>
      </c>
      <c r="C109" s="9">
        <f t="shared" ca="1" si="16"/>
        <v>-250</v>
      </c>
      <c r="D109" s="9">
        <f t="shared" ca="1" si="17"/>
        <v>52075</v>
      </c>
      <c r="E109" s="9">
        <f t="shared" ca="1" si="18"/>
        <v>52325</v>
      </c>
      <c r="F109" s="9">
        <f t="shared" ca="1" si="23"/>
        <v>50000</v>
      </c>
      <c r="G109" s="4">
        <f t="shared" ca="1" si="19"/>
        <v>0</v>
      </c>
      <c r="H109" s="8" t="str">
        <f t="shared" ca="1" si="20"/>
        <v/>
      </c>
      <c r="I109" s="14"/>
      <c r="J109" s="14"/>
      <c r="K109" s="14">
        <f t="shared" si="21"/>
        <v>52100</v>
      </c>
      <c r="L109" s="14">
        <f t="shared" si="22"/>
        <v>2000</v>
      </c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>
      <c r="A110" s="4">
        <v>87</v>
      </c>
      <c r="B110" s="5">
        <f t="shared" ca="1" si="15"/>
        <v>0.7337657566684892</v>
      </c>
      <c r="C110" s="9">
        <f t="shared" ca="1" si="16"/>
        <v>-250</v>
      </c>
      <c r="D110" s="9">
        <f t="shared" ca="1" si="17"/>
        <v>51825</v>
      </c>
      <c r="E110" s="9">
        <f t="shared" ca="1" si="18"/>
        <v>52325</v>
      </c>
      <c r="F110" s="9">
        <f t="shared" ca="1" si="23"/>
        <v>50000</v>
      </c>
      <c r="G110" s="4">
        <f t="shared" ca="1" si="19"/>
        <v>0</v>
      </c>
      <c r="H110" s="8" t="str">
        <f t="shared" ca="1" si="20"/>
        <v/>
      </c>
      <c r="I110" s="14"/>
      <c r="J110" s="14"/>
      <c r="K110" s="14">
        <f t="shared" si="21"/>
        <v>52100</v>
      </c>
      <c r="L110" s="14">
        <f t="shared" si="22"/>
        <v>2000</v>
      </c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>
      <c r="A111" s="4">
        <v>88</v>
      </c>
      <c r="B111" s="5">
        <f t="shared" ca="1" si="15"/>
        <v>0.98593818714582793</v>
      </c>
      <c r="C111" s="9">
        <f t="shared" ca="1" si="16"/>
        <v>-250</v>
      </c>
      <c r="D111" s="9">
        <f t="shared" ca="1" si="17"/>
        <v>51575</v>
      </c>
      <c r="E111" s="9">
        <f t="shared" ca="1" si="18"/>
        <v>52325</v>
      </c>
      <c r="F111" s="9">
        <f t="shared" ca="1" si="23"/>
        <v>50000</v>
      </c>
      <c r="G111" s="4">
        <f t="shared" ca="1" si="19"/>
        <v>0</v>
      </c>
      <c r="H111" s="8" t="str">
        <f t="shared" ca="1" si="20"/>
        <v/>
      </c>
      <c r="I111" s="14"/>
      <c r="J111" s="14"/>
      <c r="K111" s="14">
        <f t="shared" si="21"/>
        <v>52100</v>
      </c>
      <c r="L111" s="14">
        <f t="shared" si="22"/>
        <v>2000</v>
      </c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>
      <c r="A112" s="4">
        <v>89</v>
      </c>
      <c r="B112" s="5">
        <f t="shared" ca="1" si="15"/>
        <v>0.33893056196435312</v>
      </c>
      <c r="C112" s="9">
        <f t="shared" ca="1" si="16"/>
        <v>250</v>
      </c>
      <c r="D112" s="9">
        <f t="shared" ca="1" si="17"/>
        <v>51825</v>
      </c>
      <c r="E112" s="9">
        <f t="shared" ca="1" si="18"/>
        <v>52325</v>
      </c>
      <c r="F112" s="9">
        <f t="shared" ca="1" si="23"/>
        <v>50000</v>
      </c>
      <c r="G112" s="4">
        <f t="shared" ca="1" si="19"/>
        <v>0</v>
      </c>
      <c r="H112" s="8" t="str">
        <f t="shared" ca="1" si="20"/>
        <v/>
      </c>
      <c r="I112" s="14"/>
      <c r="J112" s="14"/>
      <c r="K112" s="14">
        <f t="shared" si="21"/>
        <v>52100</v>
      </c>
      <c r="L112" s="14">
        <f t="shared" si="22"/>
        <v>2000</v>
      </c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>
      <c r="A113" s="4">
        <v>90</v>
      </c>
      <c r="B113" s="5">
        <f t="shared" ca="1" si="15"/>
        <v>0.67938680273224294</v>
      </c>
      <c r="C113" s="9">
        <f t="shared" ca="1" si="16"/>
        <v>-250</v>
      </c>
      <c r="D113" s="9">
        <f t="shared" ca="1" si="17"/>
        <v>51575</v>
      </c>
      <c r="E113" s="9">
        <f t="shared" ca="1" si="18"/>
        <v>52325</v>
      </c>
      <c r="F113" s="9">
        <f t="shared" ca="1" si="23"/>
        <v>50000</v>
      </c>
      <c r="G113" s="4">
        <f t="shared" ca="1" si="19"/>
        <v>0</v>
      </c>
      <c r="H113" s="8" t="str">
        <f t="shared" ca="1" si="20"/>
        <v/>
      </c>
      <c r="I113" s="14"/>
      <c r="J113" s="14"/>
      <c r="K113" s="14">
        <f t="shared" si="21"/>
        <v>52100</v>
      </c>
      <c r="L113" s="14">
        <f t="shared" si="22"/>
        <v>2000</v>
      </c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>
      <c r="A114" s="4">
        <v>91</v>
      </c>
      <c r="B114" s="5">
        <f t="shared" ca="1" si="15"/>
        <v>0.6727191316755794</v>
      </c>
      <c r="C114" s="9">
        <f t="shared" ca="1" si="16"/>
        <v>-250</v>
      </c>
      <c r="D114" s="9">
        <f t="shared" ca="1" si="17"/>
        <v>51325</v>
      </c>
      <c r="E114" s="9">
        <f t="shared" ca="1" si="18"/>
        <v>52325</v>
      </c>
      <c r="F114" s="9">
        <f t="shared" ca="1" si="23"/>
        <v>50000</v>
      </c>
      <c r="G114" s="4">
        <f t="shared" ca="1" si="19"/>
        <v>0</v>
      </c>
      <c r="H114" s="8" t="str">
        <f t="shared" ca="1" si="20"/>
        <v/>
      </c>
      <c r="I114" s="14"/>
      <c r="J114" s="14"/>
      <c r="K114" s="14">
        <f t="shared" si="21"/>
        <v>52100</v>
      </c>
      <c r="L114" s="14">
        <f t="shared" si="22"/>
        <v>2000</v>
      </c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>
      <c r="A115" s="4">
        <v>92</v>
      </c>
      <c r="B115" s="5">
        <f t="shared" ca="1" si="15"/>
        <v>0.97656836884675191</v>
      </c>
      <c r="C115" s="9">
        <f t="shared" ca="1" si="16"/>
        <v>-250</v>
      </c>
      <c r="D115" s="9">
        <f t="shared" ca="1" si="17"/>
        <v>51075</v>
      </c>
      <c r="E115" s="9">
        <f t="shared" ca="1" si="18"/>
        <v>52325</v>
      </c>
      <c r="F115" s="9">
        <f t="shared" ca="1" si="23"/>
        <v>50000</v>
      </c>
      <c r="G115" s="4">
        <f t="shared" ca="1" si="19"/>
        <v>0</v>
      </c>
      <c r="H115" s="8" t="str">
        <f t="shared" ca="1" si="20"/>
        <v/>
      </c>
      <c r="I115" s="14"/>
      <c r="J115" s="14"/>
      <c r="K115" s="14">
        <f t="shared" si="21"/>
        <v>52100</v>
      </c>
      <c r="L115" s="14">
        <f t="shared" si="22"/>
        <v>2000</v>
      </c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>
      <c r="A116" s="4">
        <v>93</v>
      </c>
      <c r="B116" s="5">
        <f t="shared" ca="1" si="15"/>
        <v>0.35851463902196046</v>
      </c>
      <c r="C116" s="9">
        <f t="shared" ca="1" si="16"/>
        <v>250</v>
      </c>
      <c r="D116" s="9">
        <f t="shared" ca="1" si="17"/>
        <v>51325</v>
      </c>
      <c r="E116" s="9">
        <f t="shared" ca="1" si="18"/>
        <v>52325</v>
      </c>
      <c r="F116" s="9">
        <f t="shared" ca="1" si="23"/>
        <v>50000</v>
      </c>
      <c r="G116" s="4">
        <f t="shared" ca="1" si="19"/>
        <v>0</v>
      </c>
      <c r="H116" s="8" t="str">
        <f t="shared" ca="1" si="20"/>
        <v/>
      </c>
      <c r="I116" s="14"/>
      <c r="J116" s="14"/>
      <c r="K116" s="14">
        <f t="shared" si="21"/>
        <v>52100</v>
      </c>
      <c r="L116" s="14">
        <f t="shared" si="22"/>
        <v>2000</v>
      </c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>
      <c r="A117" s="4">
        <v>94</v>
      </c>
      <c r="B117" s="5">
        <f t="shared" ca="1" si="15"/>
        <v>0.35074768956493962</v>
      </c>
      <c r="C117" s="9">
        <f t="shared" ca="1" si="16"/>
        <v>250</v>
      </c>
      <c r="D117" s="9">
        <f t="shared" ca="1" si="17"/>
        <v>51575</v>
      </c>
      <c r="E117" s="9">
        <f t="shared" ca="1" si="18"/>
        <v>52325</v>
      </c>
      <c r="F117" s="9">
        <f t="shared" ca="1" si="23"/>
        <v>50000</v>
      </c>
      <c r="G117" s="4">
        <f t="shared" ca="1" si="19"/>
        <v>0</v>
      </c>
      <c r="H117" s="8" t="str">
        <f t="shared" ca="1" si="20"/>
        <v/>
      </c>
      <c r="I117" s="14"/>
      <c r="J117" s="14"/>
      <c r="K117" s="14">
        <f t="shared" si="21"/>
        <v>52100</v>
      </c>
      <c r="L117" s="14">
        <f t="shared" si="22"/>
        <v>2000</v>
      </c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1:21">
      <c r="A118" s="4">
        <v>95</v>
      </c>
      <c r="B118" s="5">
        <f t="shared" ca="1" si="15"/>
        <v>0.32928438360687617</v>
      </c>
      <c r="C118" s="9">
        <f t="shared" ca="1" si="16"/>
        <v>250</v>
      </c>
      <c r="D118" s="9">
        <f t="shared" ca="1" si="17"/>
        <v>51825</v>
      </c>
      <c r="E118" s="9">
        <f t="shared" ca="1" si="18"/>
        <v>52325</v>
      </c>
      <c r="F118" s="9">
        <f t="shared" ca="1" si="23"/>
        <v>50000</v>
      </c>
      <c r="G118" s="4">
        <f t="shared" ca="1" si="19"/>
        <v>0</v>
      </c>
      <c r="H118" s="8" t="str">
        <f t="shared" ca="1" si="20"/>
        <v/>
      </c>
      <c r="I118" s="14"/>
      <c r="J118" s="14"/>
      <c r="K118" s="14">
        <f t="shared" si="21"/>
        <v>52100</v>
      </c>
      <c r="L118" s="14">
        <f>L117</f>
        <v>2000</v>
      </c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1:21">
      <c r="A119" s="4">
        <v>96</v>
      </c>
      <c r="B119" s="5">
        <f t="shared" ca="1" si="15"/>
        <v>0.91171928219489207</v>
      </c>
      <c r="C119" s="9">
        <f t="shared" ca="1" si="16"/>
        <v>-250</v>
      </c>
      <c r="D119" s="9">
        <f t="shared" ca="1" si="17"/>
        <v>51575</v>
      </c>
      <c r="E119" s="9">
        <f t="shared" ca="1" si="18"/>
        <v>52325</v>
      </c>
      <c r="F119" s="9">
        <f t="shared" ca="1" si="23"/>
        <v>50000</v>
      </c>
      <c r="G119" s="4">
        <f t="shared" ca="1" si="19"/>
        <v>0</v>
      </c>
      <c r="H119" s="8" t="str">
        <f t="shared" ca="1" si="20"/>
        <v/>
      </c>
      <c r="I119" s="14"/>
      <c r="J119" s="14"/>
      <c r="K119" s="14">
        <f t="shared" si="21"/>
        <v>52100</v>
      </c>
      <c r="L119" s="14">
        <f t="shared" si="22"/>
        <v>2000</v>
      </c>
      <c r="M119" s="14"/>
      <c r="N119" s="14"/>
      <c r="O119" s="14"/>
      <c r="P119" s="14"/>
      <c r="Q119" s="14"/>
      <c r="R119" s="14"/>
      <c r="S119" s="14"/>
      <c r="T119" s="14"/>
      <c r="U119" s="14"/>
    </row>
    <row r="120" spans="1:21">
      <c r="A120" s="4">
        <v>97</v>
      </c>
      <c r="B120" s="5">
        <f t="shared" ca="1" si="15"/>
        <v>0.40431497336955913</v>
      </c>
      <c r="C120" s="9">
        <f t="shared" ref="C120:C151" ca="1" si="24">IF($B$12=0, IF(B120&lt;$B$11/100, $B$15*$B$16, -$B$15), IF(B120&lt;$B$11/100, $B$15*$B$16, IF(B120&lt;$B$11/100+$B$12/100, $B$15*$B$17, -$B$15)))</f>
        <v>250</v>
      </c>
      <c r="D120" s="9">
        <f t="shared" ca="1" si="17"/>
        <v>51825</v>
      </c>
      <c r="E120" s="9">
        <f t="shared" ca="1" si="18"/>
        <v>52325</v>
      </c>
      <c r="F120" s="9">
        <f t="shared" ca="1" si="23"/>
        <v>50000</v>
      </c>
      <c r="G120" s="4">
        <f t="shared" ca="1" si="19"/>
        <v>0</v>
      </c>
      <c r="H120" s="8" t="str">
        <f t="shared" ca="1" si="20"/>
        <v/>
      </c>
      <c r="I120" s="14"/>
      <c r="J120" s="14"/>
      <c r="K120" s="14">
        <f t="shared" si="21"/>
        <v>52100</v>
      </c>
      <c r="L120" s="14">
        <f t="shared" si="22"/>
        <v>2000</v>
      </c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1:21">
      <c r="A121" s="4">
        <v>98</v>
      </c>
      <c r="B121" s="5">
        <f t="shared" ca="1" si="15"/>
        <v>0.53023392311133621</v>
      </c>
      <c r="C121" s="9">
        <f t="shared" ca="1" si="24"/>
        <v>250</v>
      </c>
      <c r="D121" s="9">
        <f t="shared" ref="D121:D152" ca="1" si="25">IF(G120=1,$B$14,D120+C121)</f>
        <v>52075</v>
      </c>
      <c r="E121" s="9">
        <f t="shared" ref="E121:E152" ca="1" si="26">IF(G120=1,$B$14,MAX(E120,D121))</f>
        <v>52325</v>
      </c>
      <c r="F121" s="9">
        <f t="shared" ca="1" si="23"/>
        <v>50000</v>
      </c>
      <c r="G121" s="4">
        <f t="shared" ref="G121:G123" ca="1" si="27">IF(G120=1,0,IF(D121&lt;=F121,1,0))</f>
        <v>0</v>
      </c>
      <c r="H121" s="8" t="str">
        <f t="shared" ref="H121:H123" ca="1" si="28">IF(AND(G121=1,G120=0),1,"")</f>
        <v/>
      </c>
      <c r="I121" s="14"/>
      <c r="J121" s="14"/>
      <c r="K121" s="14">
        <f t="shared" si="21"/>
        <v>52100</v>
      </c>
      <c r="L121" s="14">
        <f t="shared" si="22"/>
        <v>2000</v>
      </c>
      <c r="M121" s="14"/>
      <c r="N121" s="14"/>
      <c r="O121" s="14"/>
      <c r="P121" s="14"/>
      <c r="Q121" s="14"/>
      <c r="R121" s="14"/>
      <c r="S121" s="14"/>
      <c r="T121" s="14"/>
      <c r="U121" s="14"/>
    </row>
    <row r="122" spans="1:21">
      <c r="A122" s="4">
        <v>99</v>
      </c>
      <c r="B122" s="5">
        <f t="shared" ca="1" si="15"/>
        <v>0.80584245315974445</v>
      </c>
      <c r="C122" s="9">
        <f t="shared" ca="1" si="24"/>
        <v>-250</v>
      </c>
      <c r="D122" s="9">
        <f t="shared" ca="1" si="25"/>
        <v>51825</v>
      </c>
      <c r="E122" s="9">
        <f t="shared" ca="1" si="26"/>
        <v>52325</v>
      </c>
      <c r="F122" s="9">
        <f t="shared" ca="1" si="23"/>
        <v>50000</v>
      </c>
      <c r="G122" s="4">
        <f t="shared" ca="1" si="27"/>
        <v>0</v>
      </c>
      <c r="H122" s="8" t="str">
        <f t="shared" ca="1" si="28"/>
        <v/>
      </c>
      <c r="I122" s="14"/>
      <c r="J122" s="14"/>
      <c r="K122" s="14">
        <f>K121</f>
        <v>52100</v>
      </c>
      <c r="L122" s="14">
        <f t="shared" si="22"/>
        <v>2000</v>
      </c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>
      <c r="A123" s="4">
        <v>100</v>
      </c>
      <c r="B123" s="5">
        <f t="shared" ca="1" si="15"/>
        <v>0.55329054569430958</v>
      </c>
      <c r="C123" s="9">
        <f t="shared" ca="1" si="24"/>
        <v>25</v>
      </c>
      <c r="D123" s="9">
        <f t="shared" ca="1" si="25"/>
        <v>51850</v>
      </c>
      <c r="E123" s="9">
        <f t="shared" ca="1" si="26"/>
        <v>52325</v>
      </c>
      <c r="F123" s="9">
        <f t="shared" ca="1" si="23"/>
        <v>50000</v>
      </c>
      <c r="G123" s="4">
        <f t="shared" ca="1" si="27"/>
        <v>0</v>
      </c>
      <c r="H123" s="8" t="str">
        <f t="shared" ca="1" si="28"/>
        <v/>
      </c>
      <c r="I123" s="14"/>
      <c r="J123" s="14"/>
      <c r="K123" s="14">
        <f t="shared" ref="K123" si="29">K122</f>
        <v>52100</v>
      </c>
      <c r="L123" s="14">
        <f t="shared" si="22"/>
        <v>2000</v>
      </c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>
      <c r="A124" s="2"/>
      <c r="B124" s="3"/>
      <c r="C124" s="2"/>
      <c r="D124" s="2"/>
      <c r="E124" s="2"/>
      <c r="F124" s="2"/>
      <c r="G124" s="2"/>
    </row>
    <row r="125" spans="1:21">
      <c r="A125" s="2"/>
      <c r="B125" s="3"/>
      <c r="C125" s="2"/>
      <c r="D125" s="2"/>
      <c r="E125" s="2"/>
      <c r="F125" s="2"/>
      <c r="G125" s="2"/>
    </row>
  </sheetData>
  <autoFilter ref="A23:H123" xr:uid="{00000000-0001-0000-0000-000000000000}"/>
  <mergeCells count="17">
    <mergeCell ref="F12:I12"/>
    <mergeCell ref="M7:R10"/>
    <mergeCell ref="A7:D9"/>
    <mergeCell ref="F3:I3"/>
    <mergeCell ref="F18:I18"/>
    <mergeCell ref="F19:I19"/>
    <mergeCell ref="E17:J17"/>
    <mergeCell ref="F13:I13"/>
    <mergeCell ref="C11:D13"/>
    <mergeCell ref="F4:I4"/>
    <mergeCell ref="F5:I5"/>
    <mergeCell ref="F6:I6"/>
    <mergeCell ref="F7:I7"/>
    <mergeCell ref="F8:I8"/>
    <mergeCell ref="F9:I9"/>
    <mergeCell ref="F10:I10"/>
    <mergeCell ref="F11:I11"/>
  </mergeCells>
  <conditionalFormatting sqref="B19:B21">
    <cfRule type="cellIs" dxfId="3" priority="1" operator="lessThan">
      <formula>0</formula>
    </cfRule>
  </conditionalFormatting>
  <conditionalFormatting sqref="C24:C123">
    <cfRule type="cellIs" dxfId="2" priority="3" operator="lessThan">
      <formula>0</formula>
    </cfRule>
    <cfRule type="cellIs" dxfId="1" priority="5" operator="greaterThan">
      <formula>0</formula>
    </cfRule>
  </conditionalFormatting>
  <conditionalFormatting sqref="G24:G123">
    <cfRule type="cellIs" dxfId="0" priority="6" operator="greater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Thoufeek</cp:lastModifiedBy>
  <dcterms:created xsi:type="dcterms:W3CDTF">2025-10-15T10:24:28Z</dcterms:created>
  <dcterms:modified xsi:type="dcterms:W3CDTF">2026-09-24T08:42:22Z</dcterms:modified>
</cp:coreProperties>
</file>